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bookViews>
    <workbookView xWindow="0" yWindow="0" windowWidth="16380" windowHeight="8190" tabRatio="500"/>
  </bookViews>
  <sheets>
    <sheet name="Raw_Data" sheetId="1" r:id="rId1"/>
    <sheet name="Cleaned_Data" sheetId="2" r:id="rId2"/>
    <sheet name="Summary_KPIs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501" i="2" l="1"/>
  <c r="Q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A501" i="2"/>
  <c r="R500" i="2"/>
  <c r="Q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A500" i="2"/>
  <c r="R499" i="2"/>
  <c r="Q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A499" i="2"/>
  <c r="R498" i="2"/>
  <c r="Q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A498" i="2"/>
  <c r="R497" i="2"/>
  <c r="Q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A497" i="2"/>
  <c r="R496" i="2"/>
  <c r="Q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A496" i="2"/>
  <c r="R495" i="2"/>
  <c r="Q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A495" i="2"/>
  <c r="R494" i="2"/>
  <c r="Q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A494" i="2"/>
  <c r="R493" i="2"/>
  <c r="Q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A493" i="2"/>
  <c r="R492" i="2"/>
  <c r="Q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A492" i="2"/>
  <c r="R491" i="2"/>
  <c r="Q491" i="2"/>
  <c r="N491" i="2"/>
  <c r="M491" i="2"/>
  <c r="L491" i="2"/>
  <c r="K491" i="2"/>
  <c r="J491" i="2"/>
  <c r="I491" i="2"/>
  <c r="H491" i="2"/>
  <c r="G491" i="2"/>
  <c r="F491" i="2"/>
  <c r="E491" i="2"/>
  <c r="D491" i="2"/>
  <c r="C491" i="2"/>
  <c r="B491" i="2"/>
  <c r="A491" i="2"/>
  <c r="R490" i="2"/>
  <c r="Q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A490" i="2"/>
  <c r="R489" i="2"/>
  <c r="Q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A489" i="2"/>
  <c r="R488" i="2"/>
  <c r="Q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A488" i="2"/>
  <c r="R487" i="2"/>
  <c r="Q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A487" i="2"/>
  <c r="R486" i="2"/>
  <c r="Q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A486" i="2"/>
  <c r="R485" i="2"/>
  <c r="Q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A485" i="2"/>
  <c r="R484" i="2"/>
  <c r="Q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A484" i="2"/>
  <c r="R483" i="2"/>
  <c r="Q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A483" i="2"/>
  <c r="R482" i="2"/>
  <c r="Q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A482" i="2"/>
  <c r="R481" i="2"/>
  <c r="Q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A481" i="2"/>
  <c r="R480" i="2"/>
  <c r="Q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A480" i="2"/>
  <c r="R479" i="2"/>
  <c r="Q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A479" i="2"/>
  <c r="R478" i="2"/>
  <c r="Q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A478" i="2"/>
  <c r="R477" i="2"/>
  <c r="Q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A477" i="2"/>
  <c r="R476" i="2"/>
  <c r="Q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A476" i="2"/>
  <c r="R475" i="2"/>
  <c r="Q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A475" i="2"/>
  <c r="R474" i="2"/>
  <c r="Q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A474" i="2"/>
  <c r="R473" i="2"/>
  <c r="Q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A473" i="2"/>
  <c r="R472" i="2"/>
  <c r="Q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A472" i="2"/>
  <c r="R471" i="2"/>
  <c r="Q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A471" i="2"/>
  <c r="R470" i="2"/>
  <c r="Q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A470" i="2"/>
  <c r="R469" i="2"/>
  <c r="Q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A469" i="2"/>
  <c r="R468" i="2"/>
  <c r="Q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A468" i="2"/>
  <c r="R467" i="2"/>
  <c r="Q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A467" i="2"/>
  <c r="R466" i="2"/>
  <c r="Q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A466" i="2"/>
  <c r="R465" i="2"/>
  <c r="Q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A465" i="2"/>
  <c r="R464" i="2"/>
  <c r="Q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A464" i="2"/>
  <c r="R463" i="2"/>
  <c r="Q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A463" i="2"/>
  <c r="R462" i="2"/>
  <c r="Q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A462" i="2"/>
  <c r="R461" i="2"/>
  <c r="Q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A461" i="2"/>
  <c r="R460" i="2"/>
  <c r="Q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A460" i="2"/>
  <c r="R459" i="2"/>
  <c r="Q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A459" i="2"/>
  <c r="R458" i="2"/>
  <c r="Q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A458" i="2"/>
  <c r="R457" i="2"/>
  <c r="Q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A457" i="2"/>
  <c r="R456" i="2"/>
  <c r="Q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A456" i="2"/>
  <c r="R455" i="2"/>
  <c r="Q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A455" i="2"/>
  <c r="R454" i="2"/>
  <c r="Q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A454" i="2"/>
  <c r="R453" i="2"/>
  <c r="Q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A453" i="2"/>
  <c r="R452" i="2"/>
  <c r="Q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A452" i="2"/>
  <c r="R451" i="2"/>
  <c r="Q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A451" i="2"/>
  <c r="R450" i="2"/>
  <c r="Q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A450" i="2"/>
  <c r="R449" i="2"/>
  <c r="Q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A449" i="2"/>
  <c r="R448" i="2"/>
  <c r="Q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A448" i="2"/>
  <c r="R447" i="2"/>
  <c r="Q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A447" i="2"/>
  <c r="R446" i="2"/>
  <c r="Q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A446" i="2"/>
  <c r="R445" i="2"/>
  <c r="Q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A445" i="2"/>
  <c r="R444" i="2"/>
  <c r="Q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A444" i="2"/>
  <c r="R443" i="2"/>
  <c r="Q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A443" i="2"/>
  <c r="R442" i="2"/>
  <c r="Q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A442" i="2"/>
  <c r="R441" i="2"/>
  <c r="Q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A441" i="2"/>
  <c r="R440" i="2"/>
  <c r="Q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A440" i="2"/>
  <c r="R439" i="2"/>
  <c r="Q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A439" i="2"/>
  <c r="R438" i="2"/>
  <c r="Q438" i="2"/>
  <c r="N438" i="2"/>
  <c r="M438" i="2"/>
  <c r="L438" i="2"/>
  <c r="K438" i="2"/>
  <c r="J438" i="2"/>
  <c r="I438" i="2"/>
  <c r="O438" i="2" s="1"/>
  <c r="H438" i="2"/>
  <c r="G438" i="2"/>
  <c r="F438" i="2"/>
  <c r="E438" i="2"/>
  <c r="D438" i="2"/>
  <c r="C438" i="2"/>
  <c r="B438" i="2"/>
  <c r="A438" i="2"/>
  <c r="R437" i="2"/>
  <c r="Q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A437" i="2"/>
  <c r="R436" i="2"/>
  <c r="Q436" i="2"/>
  <c r="N436" i="2"/>
  <c r="M436" i="2"/>
  <c r="L436" i="2"/>
  <c r="K436" i="2"/>
  <c r="J436" i="2"/>
  <c r="I436" i="2"/>
  <c r="O436" i="2" s="1"/>
  <c r="H436" i="2"/>
  <c r="G436" i="2"/>
  <c r="F436" i="2"/>
  <c r="E436" i="2"/>
  <c r="D436" i="2"/>
  <c r="C436" i="2"/>
  <c r="B436" i="2"/>
  <c r="A436" i="2"/>
  <c r="R435" i="2"/>
  <c r="Q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A435" i="2"/>
  <c r="R434" i="2"/>
  <c r="Q434" i="2"/>
  <c r="N434" i="2"/>
  <c r="M434" i="2"/>
  <c r="L434" i="2"/>
  <c r="K434" i="2"/>
  <c r="J434" i="2"/>
  <c r="I434" i="2"/>
  <c r="O434" i="2" s="1"/>
  <c r="H434" i="2"/>
  <c r="G434" i="2"/>
  <c r="F434" i="2"/>
  <c r="E434" i="2"/>
  <c r="D434" i="2"/>
  <c r="C434" i="2"/>
  <c r="B434" i="2"/>
  <c r="A434" i="2"/>
  <c r="R433" i="2"/>
  <c r="Q433" i="2"/>
  <c r="N433" i="2"/>
  <c r="M433" i="2"/>
  <c r="L433" i="2"/>
  <c r="K433" i="2"/>
  <c r="J433" i="2"/>
  <c r="I433" i="2"/>
  <c r="O433" i="2" s="1"/>
  <c r="H433" i="2"/>
  <c r="G433" i="2"/>
  <c r="F433" i="2"/>
  <c r="E433" i="2"/>
  <c r="D433" i="2"/>
  <c r="C433" i="2"/>
  <c r="B433" i="2"/>
  <c r="A433" i="2"/>
  <c r="R432" i="2"/>
  <c r="Q432" i="2"/>
  <c r="N432" i="2"/>
  <c r="M432" i="2"/>
  <c r="L432" i="2"/>
  <c r="K432" i="2"/>
  <c r="J432" i="2"/>
  <c r="I432" i="2"/>
  <c r="O432" i="2" s="1"/>
  <c r="H432" i="2"/>
  <c r="G432" i="2"/>
  <c r="F432" i="2"/>
  <c r="E432" i="2"/>
  <c r="D432" i="2"/>
  <c r="C432" i="2"/>
  <c r="B432" i="2"/>
  <c r="A432" i="2"/>
  <c r="R431" i="2"/>
  <c r="Q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A431" i="2"/>
  <c r="R430" i="2"/>
  <c r="Q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A430" i="2"/>
  <c r="R429" i="2"/>
  <c r="Q429" i="2"/>
  <c r="N429" i="2"/>
  <c r="M429" i="2"/>
  <c r="L429" i="2"/>
  <c r="K429" i="2"/>
  <c r="J429" i="2"/>
  <c r="I429" i="2"/>
  <c r="O429" i="2" s="1"/>
  <c r="H429" i="2"/>
  <c r="G429" i="2"/>
  <c r="F429" i="2"/>
  <c r="E429" i="2"/>
  <c r="D429" i="2"/>
  <c r="C429" i="2"/>
  <c r="B429" i="2"/>
  <c r="A429" i="2"/>
  <c r="R428" i="2"/>
  <c r="Q428" i="2"/>
  <c r="N428" i="2"/>
  <c r="M428" i="2"/>
  <c r="L428" i="2"/>
  <c r="K428" i="2"/>
  <c r="J428" i="2"/>
  <c r="I428" i="2"/>
  <c r="O428" i="2" s="1"/>
  <c r="H428" i="2"/>
  <c r="G428" i="2"/>
  <c r="F428" i="2"/>
  <c r="E428" i="2"/>
  <c r="D428" i="2"/>
  <c r="C428" i="2"/>
  <c r="B428" i="2"/>
  <c r="A428" i="2"/>
  <c r="R427" i="2"/>
  <c r="Q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A427" i="2"/>
  <c r="R426" i="2"/>
  <c r="Q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A426" i="2"/>
  <c r="R425" i="2"/>
  <c r="Q425" i="2"/>
  <c r="N425" i="2"/>
  <c r="M425" i="2"/>
  <c r="L425" i="2"/>
  <c r="K425" i="2"/>
  <c r="J425" i="2"/>
  <c r="I425" i="2"/>
  <c r="O425" i="2" s="1"/>
  <c r="H425" i="2"/>
  <c r="G425" i="2"/>
  <c r="F425" i="2"/>
  <c r="E425" i="2"/>
  <c r="D425" i="2"/>
  <c r="C425" i="2"/>
  <c r="B425" i="2"/>
  <c r="A425" i="2"/>
  <c r="R424" i="2"/>
  <c r="Q424" i="2"/>
  <c r="N424" i="2"/>
  <c r="M424" i="2"/>
  <c r="L424" i="2"/>
  <c r="K424" i="2"/>
  <c r="J424" i="2"/>
  <c r="I424" i="2"/>
  <c r="O424" i="2" s="1"/>
  <c r="H424" i="2"/>
  <c r="G424" i="2"/>
  <c r="F424" i="2"/>
  <c r="E424" i="2"/>
  <c r="D424" i="2"/>
  <c r="C424" i="2"/>
  <c r="B424" i="2"/>
  <c r="A424" i="2"/>
  <c r="R423" i="2"/>
  <c r="Q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A423" i="2"/>
  <c r="R422" i="2"/>
  <c r="Q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A422" i="2"/>
  <c r="R421" i="2"/>
  <c r="Q421" i="2"/>
  <c r="N421" i="2"/>
  <c r="M421" i="2"/>
  <c r="L421" i="2"/>
  <c r="K421" i="2"/>
  <c r="J421" i="2"/>
  <c r="I421" i="2"/>
  <c r="O421" i="2" s="1"/>
  <c r="H421" i="2"/>
  <c r="G421" i="2"/>
  <c r="F421" i="2"/>
  <c r="E421" i="2"/>
  <c r="D421" i="2"/>
  <c r="C421" i="2"/>
  <c r="B421" i="2"/>
  <c r="A421" i="2"/>
  <c r="R420" i="2"/>
  <c r="Q420" i="2"/>
  <c r="N420" i="2"/>
  <c r="M420" i="2"/>
  <c r="L420" i="2"/>
  <c r="K420" i="2"/>
  <c r="J420" i="2"/>
  <c r="I420" i="2"/>
  <c r="O420" i="2" s="1"/>
  <c r="H420" i="2"/>
  <c r="G420" i="2"/>
  <c r="F420" i="2"/>
  <c r="E420" i="2"/>
  <c r="D420" i="2"/>
  <c r="C420" i="2"/>
  <c r="B420" i="2"/>
  <c r="A420" i="2"/>
  <c r="R419" i="2"/>
  <c r="Q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B419" i="2"/>
  <c r="A419" i="2"/>
  <c r="R418" i="2"/>
  <c r="Q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A418" i="2"/>
  <c r="R417" i="2"/>
  <c r="Q417" i="2"/>
  <c r="N417" i="2"/>
  <c r="M417" i="2"/>
  <c r="L417" i="2"/>
  <c r="K417" i="2"/>
  <c r="J417" i="2"/>
  <c r="I417" i="2"/>
  <c r="O417" i="2" s="1"/>
  <c r="H417" i="2"/>
  <c r="G417" i="2"/>
  <c r="F417" i="2"/>
  <c r="E417" i="2"/>
  <c r="D417" i="2"/>
  <c r="C417" i="2"/>
  <c r="B417" i="2"/>
  <c r="A417" i="2"/>
  <c r="R416" i="2"/>
  <c r="Q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A416" i="2"/>
  <c r="R415" i="2"/>
  <c r="Q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A415" i="2"/>
  <c r="R414" i="2"/>
  <c r="Q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A414" i="2"/>
  <c r="R413" i="2"/>
  <c r="Q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A413" i="2"/>
  <c r="R412" i="2"/>
  <c r="Q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A412" i="2"/>
  <c r="R411" i="2"/>
  <c r="Q411" i="2"/>
  <c r="N411" i="2"/>
  <c r="M411" i="2"/>
  <c r="L411" i="2"/>
  <c r="K411" i="2"/>
  <c r="J411" i="2"/>
  <c r="I411" i="2"/>
  <c r="O411" i="2" s="1"/>
  <c r="H411" i="2"/>
  <c r="G411" i="2"/>
  <c r="F411" i="2"/>
  <c r="E411" i="2"/>
  <c r="D411" i="2"/>
  <c r="C411" i="2"/>
  <c r="B411" i="2"/>
  <c r="A411" i="2"/>
  <c r="R410" i="2"/>
  <c r="Q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A410" i="2"/>
  <c r="R409" i="2"/>
  <c r="Q409" i="2"/>
  <c r="N409" i="2"/>
  <c r="M409" i="2"/>
  <c r="L409" i="2"/>
  <c r="K409" i="2"/>
  <c r="J409" i="2"/>
  <c r="I409" i="2"/>
  <c r="O409" i="2" s="1"/>
  <c r="H409" i="2"/>
  <c r="G409" i="2"/>
  <c r="F409" i="2"/>
  <c r="E409" i="2"/>
  <c r="D409" i="2"/>
  <c r="C409" i="2"/>
  <c r="B409" i="2"/>
  <c r="A409" i="2"/>
  <c r="R408" i="2"/>
  <c r="Q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A408" i="2"/>
  <c r="R407" i="2"/>
  <c r="Q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A407" i="2"/>
  <c r="R406" i="2"/>
  <c r="Q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A406" i="2"/>
  <c r="R405" i="2"/>
  <c r="Q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A405" i="2"/>
  <c r="R404" i="2"/>
  <c r="Q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A404" i="2"/>
  <c r="R403" i="2"/>
  <c r="Q403" i="2"/>
  <c r="N403" i="2"/>
  <c r="M403" i="2"/>
  <c r="L403" i="2"/>
  <c r="K403" i="2"/>
  <c r="J403" i="2"/>
  <c r="I403" i="2"/>
  <c r="O403" i="2" s="1"/>
  <c r="H403" i="2"/>
  <c r="G403" i="2"/>
  <c r="F403" i="2"/>
  <c r="E403" i="2"/>
  <c r="D403" i="2"/>
  <c r="C403" i="2"/>
  <c r="B403" i="2"/>
  <c r="A403" i="2"/>
  <c r="R402" i="2"/>
  <c r="Q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A402" i="2"/>
  <c r="R401" i="2"/>
  <c r="Q401" i="2"/>
  <c r="N401" i="2"/>
  <c r="M401" i="2"/>
  <c r="L401" i="2"/>
  <c r="K401" i="2"/>
  <c r="J401" i="2"/>
  <c r="I401" i="2"/>
  <c r="O401" i="2" s="1"/>
  <c r="H401" i="2"/>
  <c r="G401" i="2"/>
  <c r="F401" i="2"/>
  <c r="E401" i="2"/>
  <c r="D401" i="2"/>
  <c r="C401" i="2"/>
  <c r="B401" i="2"/>
  <c r="A401" i="2"/>
  <c r="R400" i="2"/>
  <c r="Q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A400" i="2"/>
  <c r="R399" i="2"/>
  <c r="Q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A399" i="2"/>
  <c r="R398" i="2"/>
  <c r="Q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A398" i="2"/>
  <c r="R397" i="2"/>
  <c r="Q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A397" i="2"/>
  <c r="R396" i="2"/>
  <c r="Q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A396" i="2"/>
  <c r="R395" i="2"/>
  <c r="Q395" i="2"/>
  <c r="N395" i="2"/>
  <c r="M395" i="2"/>
  <c r="L395" i="2"/>
  <c r="K395" i="2"/>
  <c r="J395" i="2"/>
  <c r="I395" i="2"/>
  <c r="O395" i="2" s="1"/>
  <c r="H395" i="2"/>
  <c r="G395" i="2"/>
  <c r="F395" i="2"/>
  <c r="E395" i="2"/>
  <c r="D395" i="2"/>
  <c r="C395" i="2"/>
  <c r="B395" i="2"/>
  <c r="A395" i="2"/>
  <c r="R394" i="2"/>
  <c r="Q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A394" i="2"/>
  <c r="R393" i="2"/>
  <c r="Q393" i="2"/>
  <c r="N393" i="2"/>
  <c r="M393" i="2"/>
  <c r="L393" i="2"/>
  <c r="K393" i="2"/>
  <c r="J393" i="2"/>
  <c r="I393" i="2"/>
  <c r="O393" i="2" s="1"/>
  <c r="H393" i="2"/>
  <c r="G393" i="2"/>
  <c r="F393" i="2"/>
  <c r="E393" i="2"/>
  <c r="D393" i="2"/>
  <c r="C393" i="2"/>
  <c r="B393" i="2"/>
  <c r="A393" i="2"/>
  <c r="R392" i="2"/>
  <c r="Q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A392" i="2"/>
  <c r="R391" i="2"/>
  <c r="Q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A391" i="2"/>
  <c r="R390" i="2"/>
  <c r="Q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A390" i="2"/>
  <c r="R389" i="2"/>
  <c r="Q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A389" i="2"/>
  <c r="R388" i="2"/>
  <c r="Q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A388" i="2"/>
  <c r="R387" i="2"/>
  <c r="Q387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A387" i="2"/>
  <c r="R386" i="2"/>
  <c r="Q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A386" i="2"/>
  <c r="R385" i="2"/>
  <c r="Q385" i="2"/>
  <c r="N385" i="2"/>
  <c r="M385" i="2"/>
  <c r="L385" i="2"/>
  <c r="P385" i="2" s="1"/>
  <c r="K385" i="2"/>
  <c r="J385" i="2"/>
  <c r="I385" i="2"/>
  <c r="H385" i="2"/>
  <c r="G385" i="2"/>
  <c r="F385" i="2"/>
  <c r="E385" i="2"/>
  <c r="D385" i="2"/>
  <c r="C385" i="2"/>
  <c r="B385" i="2"/>
  <c r="A385" i="2"/>
  <c r="R384" i="2"/>
  <c r="Q384" i="2"/>
  <c r="N384" i="2"/>
  <c r="M384" i="2"/>
  <c r="L384" i="2"/>
  <c r="O384" i="2" s="1"/>
  <c r="K384" i="2"/>
  <c r="J384" i="2"/>
  <c r="I384" i="2"/>
  <c r="H384" i="2"/>
  <c r="G384" i="2"/>
  <c r="F384" i="2"/>
  <c r="E384" i="2"/>
  <c r="D384" i="2"/>
  <c r="C384" i="2"/>
  <c r="B384" i="2"/>
  <c r="A384" i="2"/>
  <c r="R383" i="2"/>
  <c r="Q383" i="2"/>
  <c r="N383" i="2"/>
  <c r="M383" i="2"/>
  <c r="L383" i="2"/>
  <c r="P383" i="2" s="1"/>
  <c r="K383" i="2"/>
  <c r="J383" i="2"/>
  <c r="I383" i="2"/>
  <c r="H383" i="2"/>
  <c r="G383" i="2"/>
  <c r="F383" i="2"/>
  <c r="E383" i="2"/>
  <c r="D383" i="2"/>
  <c r="C383" i="2"/>
  <c r="B383" i="2"/>
  <c r="A383" i="2"/>
  <c r="R382" i="2"/>
  <c r="Q382" i="2"/>
  <c r="N382" i="2"/>
  <c r="M382" i="2"/>
  <c r="L382" i="2"/>
  <c r="K382" i="2"/>
  <c r="J382" i="2"/>
  <c r="I382" i="2"/>
  <c r="P382" i="2" s="1"/>
  <c r="H382" i="2"/>
  <c r="G382" i="2"/>
  <c r="F382" i="2"/>
  <c r="E382" i="2"/>
  <c r="D382" i="2"/>
  <c r="C382" i="2"/>
  <c r="B382" i="2"/>
  <c r="A382" i="2"/>
  <c r="R381" i="2"/>
  <c r="Q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A381" i="2"/>
  <c r="R380" i="2"/>
  <c r="Q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A380" i="2"/>
  <c r="R379" i="2"/>
  <c r="Q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A379" i="2"/>
  <c r="R378" i="2"/>
  <c r="Q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A378" i="2"/>
  <c r="R377" i="2"/>
  <c r="Q377" i="2"/>
  <c r="N377" i="2"/>
  <c r="M377" i="2"/>
  <c r="L377" i="2"/>
  <c r="P377" i="2" s="1"/>
  <c r="K377" i="2"/>
  <c r="J377" i="2"/>
  <c r="I377" i="2"/>
  <c r="H377" i="2"/>
  <c r="G377" i="2"/>
  <c r="F377" i="2"/>
  <c r="E377" i="2"/>
  <c r="D377" i="2"/>
  <c r="C377" i="2"/>
  <c r="B377" i="2"/>
  <c r="A377" i="2"/>
  <c r="R376" i="2"/>
  <c r="Q376" i="2"/>
  <c r="N376" i="2"/>
  <c r="M376" i="2"/>
  <c r="L376" i="2"/>
  <c r="O376" i="2" s="1"/>
  <c r="K376" i="2"/>
  <c r="J376" i="2"/>
  <c r="I376" i="2"/>
  <c r="H376" i="2"/>
  <c r="G376" i="2"/>
  <c r="F376" i="2"/>
  <c r="E376" i="2"/>
  <c r="D376" i="2"/>
  <c r="C376" i="2"/>
  <c r="B376" i="2"/>
  <c r="A376" i="2"/>
  <c r="R375" i="2"/>
  <c r="Q375" i="2"/>
  <c r="N375" i="2"/>
  <c r="M375" i="2"/>
  <c r="L375" i="2"/>
  <c r="P375" i="2" s="1"/>
  <c r="K375" i="2"/>
  <c r="J375" i="2"/>
  <c r="I375" i="2"/>
  <c r="H375" i="2"/>
  <c r="G375" i="2"/>
  <c r="F375" i="2"/>
  <c r="E375" i="2"/>
  <c r="D375" i="2"/>
  <c r="C375" i="2"/>
  <c r="B375" i="2"/>
  <c r="A375" i="2"/>
  <c r="R374" i="2"/>
  <c r="Q374" i="2"/>
  <c r="N374" i="2"/>
  <c r="M374" i="2"/>
  <c r="L374" i="2"/>
  <c r="K374" i="2"/>
  <c r="P374" i="2" s="1"/>
  <c r="J374" i="2"/>
  <c r="I374" i="2"/>
  <c r="H374" i="2"/>
  <c r="G374" i="2"/>
  <c r="F374" i="2"/>
  <c r="E374" i="2"/>
  <c r="D374" i="2"/>
  <c r="C374" i="2"/>
  <c r="B374" i="2"/>
  <c r="A374" i="2"/>
  <c r="R373" i="2"/>
  <c r="Q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A373" i="2"/>
  <c r="R372" i="2"/>
  <c r="Q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A372" i="2"/>
  <c r="R371" i="2"/>
  <c r="Q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A371" i="2"/>
  <c r="R370" i="2"/>
  <c r="Q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A370" i="2"/>
  <c r="R369" i="2"/>
  <c r="Q369" i="2"/>
  <c r="N369" i="2"/>
  <c r="M369" i="2"/>
  <c r="L369" i="2"/>
  <c r="P369" i="2" s="1"/>
  <c r="K369" i="2"/>
  <c r="J369" i="2"/>
  <c r="I369" i="2"/>
  <c r="H369" i="2"/>
  <c r="G369" i="2"/>
  <c r="F369" i="2"/>
  <c r="E369" i="2"/>
  <c r="D369" i="2"/>
  <c r="C369" i="2"/>
  <c r="B369" i="2"/>
  <c r="A369" i="2"/>
  <c r="R368" i="2"/>
  <c r="Q368" i="2"/>
  <c r="N368" i="2"/>
  <c r="M368" i="2"/>
  <c r="L368" i="2"/>
  <c r="O368" i="2" s="1"/>
  <c r="K368" i="2"/>
  <c r="J368" i="2"/>
  <c r="I368" i="2"/>
  <c r="H368" i="2"/>
  <c r="G368" i="2"/>
  <c r="F368" i="2"/>
  <c r="E368" i="2"/>
  <c r="D368" i="2"/>
  <c r="C368" i="2"/>
  <c r="B368" i="2"/>
  <c r="A368" i="2"/>
  <c r="R367" i="2"/>
  <c r="Q367" i="2"/>
  <c r="N367" i="2"/>
  <c r="M367" i="2"/>
  <c r="L367" i="2"/>
  <c r="P367" i="2" s="1"/>
  <c r="K367" i="2"/>
  <c r="J367" i="2"/>
  <c r="I367" i="2"/>
  <c r="H367" i="2"/>
  <c r="G367" i="2"/>
  <c r="F367" i="2"/>
  <c r="E367" i="2"/>
  <c r="D367" i="2"/>
  <c r="C367" i="2"/>
  <c r="B367" i="2"/>
  <c r="A367" i="2"/>
  <c r="R366" i="2"/>
  <c r="Q366" i="2"/>
  <c r="N366" i="2"/>
  <c r="M366" i="2"/>
  <c r="L366" i="2"/>
  <c r="K366" i="2"/>
  <c r="J366" i="2"/>
  <c r="I366" i="2"/>
  <c r="P366" i="2" s="1"/>
  <c r="H366" i="2"/>
  <c r="G366" i="2"/>
  <c r="F366" i="2"/>
  <c r="E366" i="2"/>
  <c r="D366" i="2"/>
  <c r="C366" i="2"/>
  <c r="B366" i="2"/>
  <c r="A366" i="2"/>
  <c r="R365" i="2"/>
  <c r="Q365" i="2"/>
  <c r="N365" i="2"/>
  <c r="M365" i="2"/>
  <c r="L365" i="2"/>
  <c r="K365" i="2"/>
  <c r="J365" i="2"/>
  <c r="I365" i="2"/>
  <c r="O365" i="2" s="1"/>
  <c r="H365" i="2"/>
  <c r="G365" i="2"/>
  <c r="F365" i="2"/>
  <c r="E365" i="2"/>
  <c r="D365" i="2"/>
  <c r="C365" i="2"/>
  <c r="B365" i="2"/>
  <c r="A365" i="2"/>
  <c r="R364" i="2"/>
  <c r="Q364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A364" i="2"/>
  <c r="R363" i="2"/>
  <c r="Q363" i="2"/>
  <c r="N363" i="2"/>
  <c r="M363" i="2"/>
  <c r="L363" i="2"/>
  <c r="K363" i="2"/>
  <c r="J363" i="2"/>
  <c r="I363" i="2"/>
  <c r="O363" i="2" s="1"/>
  <c r="H363" i="2"/>
  <c r="G363" i="2"/>
  <c r="F363" i="2"/>
  <c r="E363" i="2"/>
  <c r="D363" i="2"/>
  <c r="C363" i="2"/>
  <c r="B363" i="2"/>
  <c r="A363" i="2"/>
  <c r="R362" i="2"/>
  <c r="Q362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B362" i="2"/>
  <c r="A362" i="2"/>
  <c r="R361" i="2"/>
  <c r="Q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A361" i="2"/>
  <c r="R360" i="2"/>
  <c r="Q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A360" i="2"/>
  <c r="R359" i="2"/>
  <c r="Q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A359" i="2"/>
  <c r="R358" i="2"/>
  <c r="Q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A358" i="2"/>
  <c r="R357" i="2"/>
  <c r="Q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A357" i="2"/>
  <c r="R356" i="2"/>
  <c r="Q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A356" i="2"/>
  <c r="R355" i="2"/>
  <c r="Q355" i="2"/>
  <c r="N355" i="2"/>
  <c r="M355" i="2"/>
  <c r="L355" i="2"/>
  <c r="K355" i="2"/>
  <c r="O355" i="2" s="1"/>
  <c r="J355" i="2"/>
  <c r="I355" i="2"/>
  <c r="H355" i="2"/>
  <c r="G355" i="2"/>
  <c r="F355" i="2"/>
  <c r="E355" i="2"/>
  <c r="D355" i="2"/>
  <c r="C355" i="2"/>
  <c r="B355" i="2"/>
  <c r="A355" i="2"/>
  <c r="R354" i="2"/>
  <c r="Q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A354" i="2"/>
  <c r="R353" i="2"/>
  <c r="Q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A353" i="2"/>
  <c r="R352" i="2"/>
  <c r="Q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A352" i="2"/>
  <c r="R351" i="2"/>
  <c r="Q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A351" i="2"/>
  <c r="R350" i="2"/>
  <c r="Q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A350" i="2"/>
  <c r="R349" i="2"/>
  <c r="Q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A349" i="2"/>
  <c r="R348" i="2"/>
  <c r="Q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A348" i="2"/>
  <c r="R347" i="2"/>
  <c r="Q347" i="2"/>
  <c r="N347" i="2"/>
  <c r="M347" i="2"/>
  <c r="L347" i="2"/>
  <c r="K347" i="2"/>
  <c r="O347" i="2" s="1"/>
  <c r="J347" i="2"/>
  <c r="I347" i="2"/>
  <c r="H347" i="2"/>
  <c r="G347" i="2"/>
  <c r="F347" i="2"/>
  <c r="E347" i="2"/>
  <c r="D347" i="2"/>
  <c r="C347" i="2"/>
  <c r="B347" i="2"/>
  <c r="A347" i="2"/>
  <c r="R346" i="2"/>
  <c r="Q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A346" i="2"/>
  <c r="R345" i="2"/>
  <c r="Q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A345" i="2"/>
  <c r="R344" i="2"/>
  <c r="Q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A344" i="2"/>
  <c r="R343" i="2"/>
  <c r="Q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A343" i="2"/>
  <c r="R342" i="2"/>
  <c r="Q342" i="2"/>
  <c r="N342" i="2"/>
  <c r="M342" i="2"/>
  <c r="L342" i="2"/>
  <c r="K342" i="2"/>
  <c r="O342" i="2" s="1"/>
  <c r="J342" i="2"/>
  <c r="I342" i="2"/>
  <c r="H342" i="2"/>
  <c r="G342" i="2"/>
  <c r="F342" i="2"/>
  <c r="E342" i="2"/>
  <c r="D342" i="2"/>
  <c r="C342" i="2"/>
  <c r="B342" i="2"/>
  <c r="A342" i="2"/>
  <c r="R341" i="2"/>
  <c r="Q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A341" i="2"/>
  <c r="R340" i="2"/>
  <c r="Q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A340" i="2"/>
  <c r="R339" i="2"/>
  <c r="Q339" i="2"/>
  <c r="N339" i="2"/>
  <c r="M339" i="2"/>
  <c r="L339" i="2"/>
  <c r="K339" i="2"/>
  <c r="O339" i="2" s="1"/>
  <c r="J339" i="2"/>
  <c r="I339" i="2"/>
  <c r="H339" i="2"/>
  <c r="G339" i="2"/>
  <c r="F339" i="2"/>
  <c r="E339" i="2"/>
  <c r="D339" i="2"/>
  <c r="C339" i="2"/>
  <c r="B339" i="2"/>
  <c r="A339" i="2"/>
  <c r="R338" i="2"/>
  <c r="Q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A338" i="2"/>
  <c r="R337" i="2"/>
  <c r="Q337" i="2"/>
  <c r="N337" i="2"/>
  <c r="M337" i="2"/>
  <c r="L337" i="2"/>
  <c r="K337" i="2"/>
  <c r="O337" i="2" s="1"/>
  <c r="J337" i="2"/>
  <c r="I337" i="2"/>
  <c r="H337" i="2"/>
  <c r="G337" i="2"/>
  <c r="F337" i="2"/>
  <c r="E337" i="2"/>
  <c r="D337" i="2"/>
  <c r="C337" i="2"/>
  <c r="B337" i="2"/>
  <c r="A337" i="2"/>
  <c r="R336" i="2"/>
  <c r="Q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A336" i="2"/>
  <c r="R335" i="2"/>
  <c r="Q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A335" i="2"/>
  <c r="R334" i="2"/>
  <c r="Q334" i="2"/>
  <c r="N334" i="2"/>
  <c r="M334" i="2"/>
  <c r="L334" i="2"/>
  <c r="K334" i="2"/>
  <c r="O334" i="2" s="1"/>
  <c r="J334" i="2"/>
  <c r="I334" i="2"/>
  <c r="H334" i="2"/>
  <c r="G334" i="2"/>
  <c r="F334" i="2"/>
  <c r="E334" i="2"/>
  <c r="D334" i="2"/>
  <c r="C334" i="2"/>
  <c r="B334" i="2"/>
  <c r="A334" i="2"/>
  <c r="R333" i="2"/>
  <c r="Q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A333" i="2"/>
  <c r="R332" i="2"/>
  <c r="Q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B332" i="2"/>
  <c r="A332" i="2"/>
  <c r="R331" i="2"/>
  <c r="Q331" i="2"/>
  <c r="N331" i="2"/>
  <c r="M331" i="2"/>
  <c r="L331" i="2"/>
  <c r="K331" i="2"/>
  <c r="O331" i="2" s="1"/>
  <c r="J331" i="2"/>
  <c r="I331" i="2"/>
  <c r="H331" i="2"/>
  <c r="G331" i="2"/>
  <c r="F331" i="2"/>
  <c r="E331" i="2"/>
  <c r="D331" i="2"/>
  <c r="C331" i="2"/>
  <c r="B331" i="2"/>
  <c r="A331" i="2"/>
  <c r="R330" i="2"/>
  <c r="Q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B330" i="2"/>
  <c r="A330" i="2"/>
  <c r="R329" i="2"/>
  <c r="Q329" i="2"/>
  <c r="N329" i="2"/>
  <c r="M329" i="2"/>
  <c r="L329" i="2"/>
  <c r="K329" i="2"/>
  <c r="O329" i="2" s="1"/>
  <c r="J329" i="2"/>
  <c r="I329" i="2"/>
  <c r="H329" i="2"/>
  <c r="G329" i="2"/>
  <c r="F329" i="2"/>
  <c r="E329" i="2"/>
  <c r="D329" i="2"/>
  <c r="C329" i="2"/>
  <c r="B329" i="2"/>
  <c r="A329" i="2"/>
  <c r="R328" i="2"/>
  <c r="Q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A328" i="2"/>
  <c r="R327" i="2"/>
  <c r="Q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A327" i="2"/>
  <c r="R326" i="2"/>
  <c r="Q326" i="2"/>
  <c r="N326" i="2"/>
  <c r="M326" i="2"/>
  <c r="L326" i="2"/>
  <c r="K326" i="2"/>
  <c r="O326" i="2" s="1"/>
  <c r="J326" i="2"/>
  <c r="I326" i="2"/>
  <c r="H326" i="2"/>
  <c r="G326" i="2"/>
  <c r="F326" i="2"/>
  <c r="E326" i="2"/>
  <c r="D326" i="2"/>
  <c r="C326" i="2"/>
  <c r="B326" i="2"/>
  <c r="A326" i="2"/>
  <c r="R325" i="2"/>
  <c r="Q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A325" i="2"/>
  <c r="R324" i="2"/>
  <c r="Q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A324" i="2"/>
  <c r="R323" i="2"/>
  <c r="Q323" i="2"/>
  <c r="N323" i="2"/>
  <c r="M323" i="2"/>
  <c r="L323" i="2"/>
  <c r="K323" i="2"/>
  <c r="O323" i="2" s="1"/>
  <c r="J323" i="2"/>
  <c r="I323" i="2"/>
  <c r="H323" i="2"/>
  <c r="G323" i="2"/>
  <c r="F323" i="2"/>
  <c r="E323" i="2"/>
  <c r="D323" i="2"/>
  <c r="C323" i="2"/>
  <c r="B323" i="2"/>
  <c r="A323" i="2"/>
  <c r="R322" i="2"/>
  <c r="Q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A322" i="2"/>
  <c r="R321" i="2"/>
  <c r="Q321" i="2"/>
  <c r="N321" i="2"/>
  <c r="M321" i="2"/>
  <c r="L321" i="2"/>
  <c r="K321" i="2"/>
  <c r="O321" i="2" s="1"/>
  <c r="J321" i="2"/>
  <c r="I321" i="2"/>
  <c r="H321" i="2"/>
  <c r="G321" i="2"/>
  <c r="F321" i="2"/>
  <c r="E321" i="2"/>
  <c r="D321" i="2"/>
  <c r="C321" i="2"/>
  <c r="B321" i="2"/>
  <c r="A321" i="2"/>
  <c r="R320" i="2"/>
  <c r="Q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A320" i="2"/>
  <c r="R319" i="2"/>
  <c r="Q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A319" i="2"/>
  <c r="R318" i="2"/>
  <c r="Q318" i="2"/>
  <c r="N318" i="2"/>
  <c r="M318" i="2"/>
  <c r="L318" i="2"/>
  <c r="K318" i="2"/>
  <c r="O318" i="2" s="1"/>
  <c r="J318" i="2"/>
  <c r="I318" i="2"/>
  <c r="H318" i="2"/>
  <c r="G318" i="2"/>
  <c r="F318" i="2"/>
  <c r="E318" i="2"/>
  <c r="D318" i="2"/>
  <c r="C318" i="2"/>
  <c r="B318" i="2"/>
  <c r="A318" i="2"/>
  <c r="R317" i="2"/>
  <c r="Q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A317" i="2"/>
  <c r="R316" i="2"/>
  <c r="Q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A316" i="2"/>
  <c r="R315" i="2"/>
  <c r="Q315" i="2"/>
  <c r="N315" i="2"/>
  <c r="M315" i="2"/>
  <c r="L315" i="2"/>
  <c r="K315" i="2"/>
  <c r="O315" i="2" s="1"/>
  <c r="J315" i="2"/>
  <c r="I315" i="2"/>
  <c r="H315" i="2"/>
  <c r="G315" i="2"/>
  <c r="F315" i="2"/>
  <c r="E315" i="2"/>
  <c r="D315" i="2"/>
  <c r="C315" i="2"/>
  <c r="B315" i="2"/>
  <c r="A315" i="2"/>
  <c r="R314" i="2"/>
  <c r="Q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A314" i="2"/>
  <c r="R313" i="2"/>
  <c r="Q313" i="2"/>
  <c r="N313" i="2"/>
  <c r="M313" i="2"/>
  <c r="L313" i="2"/>
  <c r="K313" i="2"/>
  <c r="O313" i="2" s="1"/>
  <c r="J313" i="2"/>
  <c r="I313" i="2"/>
  <c r="H313" i="2"/>
  <c r="G313" i="2"/>
  <c r="F313" i="2"/>
  <c r="E313" i="2"/>
  <c r="D313" i="2"/>
  <c r="C313" i="2"/>
  <c r="B313" i="2"/>
  <c r="A313" i="2"/>
  <c r="R312" i="2"/>
  <c r="Q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A312" i="2"/>
  <c r="R311" i="2"/>
  <c r="Q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A311" i="2"/>
  <c r="R310" i="2"/>
  <c r="Q310" i="2"/>
  <c r="N310" i="2"/>
  <c r="M310" i="2"/>
  <c r="L310" i="2"/>
  <c r="K310" i="2"/>
  <c r="O310" i="2" s="1"/>
  <c r="J310" i="2"/>
  <c r="I310" i="2"/>
  <c r="H310" i="2"/>
  <c r="G310" i="2"/>
  <c r="F310" i="2"/>
  <c r="E310" i="2"/>
  <c r="D310" i="2"/>
  <c r="C310" i="2"/>
  <c r="B310" i="2"/>
  <c r="A310" i="2"/>
  <c r="R309" i="2"/>
  <c r="Q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A309" i="2"/>
  <c r="R308" i="2"/>
  <c r="Q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A308" i="2"/>
  <c r="R307" i="2"/>
  <c r="Q307" i="2"/>
  <c r="N307" i="2"/>
  <c r="M307" i="2"/>
  <c r="L307" i="2"/>
  <c r="K307" i="2"/>
  <c r="O307" i="2" s="1"/>
  <c r="J307" i="2"/>
  <c r="I307" i="2"/>
  <c r="H307" i="2"/>
  <c r="G307" i="2"/>
  <c r="F307" i="2"/>
  <c r="E307" i="2"/>
  <c r="D307" i="2"/>
  <c r="C307" i="2"/>
  <c r="B307" i="2"/>
  <c r="A307" i="2"/>
  <c r="R306" i="2"/>
  <c r="Q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306" i="2"/>
  <c r="A306" i="2"/>
  <c r="R305" i="2"/>
  <c r="Q305" i="2"/>
  <c r="N305" i="2"/>
  <c r="M305" i="2"/>
  <c r="L305" i="2"/>
  <c r="K305" i="2"/>
  <c r="O305" i="2" s="1"/>
  <c r="J305" i="2"/>
  <c r="I305" i="2"/>
  <c r="H305" i="2"/>
  <c r="G305" i="2"/>
  <c r="F305" i="2"/>
  <c r="E305" i="2"/>
  <c r="D305" i="2"/>
  <c r="C305" i="2"/>
  <c r="B305" i="2"/>
  <c r="A305" i="2"/>
  <c r="R304" i="2"/>
  <c r="Q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304" i="2"/>
  <c r="A304" i="2"/>
  <c r="R303" i="2"/>
  <c r="Q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A303" i="2"/>
  <c r="R302" i="2"/>
  <c r="Q302" i="2"/>
  <c r="N302" i="2"/>
  <c r="M302" i="2"/>
  <c r="L302" i="2"/>
  <c r="K302" i="2"/>
  <c r="J302" i="2"/>
  <c r="I302" i="2"/>
  <c r="H302" i="2"/>
  <c r="G302" i="2"/>
  <c r="F302" i="2"/>
  <c r="E302" i="2"/>
  <c r="D302" i="2"/>
  <c r="C302" i="2"/>
  <c r="B302" i="2"/>
  <c r="A302" i="2"/>
  <c r="R301" i="2"/>
  <c r="Q301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A301" i="2"/>
  <c r="R300" i="2"/>
  <c r="Q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A300" i="2"/>
  <c r="R299" i="2"/>
  <c r="Q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A299" i="2"/>
  <c r="R298" i="2"/>
  <c r="Q298" i="2"/>
  <c r="N298" i="2"/>
  <c r="M298" i="2"/>
  <c r="L298" i="2"/>
  <c r="K298" i="2"/>
  <c r="O298" i="2" s="1"/>
  <c r="J298" i="2"/>
  <c r="I298" i="2"/>
  <c r="H298" i="2"/>
  <c r="G298" i="2"/>
  <c r="F298" i="2"/>
  <c r="E298" i="2"/>
  <c r="D298" i="2"/>
  <c r="C298" i="2"/>
  <c r="B298" i="2"/>
  <c r="A298" i="2"/>
  <c r="R297" i="2"/>
  <c r="Q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A297" i="2"/>
  <c r="R296" i="2"/>
  <c r="Q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A296" i="2"/>
  <c r="R295" i="2"/>
  <c r="Q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B295" i="2"/>
  <c r="A295" i="2"/>
  <c r="R294" i="2"/>
  <c r="Q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B294" i="2"/>
  <c r="A294" i="2"/>
  <c r="R293" i="2"/>
  <c r="Q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A293" i="2"/>
  <c r="R292" i="2"/>
  <c r="Q292" i="2"/>
  <c r="N292" i="2"/>
  <c r="M292" i="2"/>
  <c r="L292" i="2"/>
  <c r="P292" i="2" s="1"/>
  <c r="K292" i="2"/>
  <c r="J292" i="2"/>
  <c r="I292" i="2"/>
  <c r="H292" i="2"/>
  <c r="G292" i="2"/>
  <c r="F292" i="2"/>
  <c r="E292" i="2"/>
  <c r="D292" i="2"/>
  <c r="C292" i="2"/>
  <c r="B292" i="2"/>
  <c r="A292" i="2"/>
  <c r="R291" i="2"/>
  <c r="Q291" i="2"/>
  <c r="N291" i="2"/>
  <c r="M291" i="2"/>
  <c r="L291" i="2"/>
  <c r="O291" i="2" s="1"/>
  <c r="K291" i="2"/>
  <c r="J291" i="2"/>
  <c r="I291" i="2"/>
  <c r="H291" i="2"/>
  <c r="G291" i="2"/>
  <c r="F291" i="2"/>
  <c r="E291" i="2"/>
  <c r="D291" i="2"/>
  <c r="C291" i="2"/>
  <c r="B291" i="2"/>
  <c r="A291" i="2"/>
  <c r="R290" i="2"/>
  <c r="Q290" i="2"/>
  <c r="N290" i="2"/>
  <c r="M290" i="2"/>
  <c r="L290" i="2"/>
  <c r="P290" i="2" s="1"/>
  <c r="K290" i="2"/>
  <c r="J290" i="2"/>
  <c r="I290" i="2"/>
  <c r="H290" i="2"/>
  <c r="G290" i="2"/>
  <c r="F290" i="2"/>
  <c r="E290" i="2"/>
  <c r="D290" i="2"/>
  <c r="C290" i="2"/>
  <c r="B290" i="2"/>
  <c r="A290" i="2"/>
  <c r="R289" i="2"/>
  <c r="Q289" i="2"/>
  <c r="N289" i="2"/>
  <c r="M289" i="2"/>
  <c r="L289" i="2"/>
  <c r="K289" i="2"/>
  <c r="J289" i="2"/>
  <c r="I289" i="2"/>
  <c r="P289" i="2" s="1"/>
  <c r="H289" i="2"/>
  <c r="G289" i="2"/>
  <c r="F289" i="2"/>
  <c r="E289" i="2"/>
  <c r="D289" i="2"/>
  <c r="C289" i="2"/>
  <c r="B289" i="2"/>
  <c r="A289" i="2"/>
  <c r="R288" i="2"/>
  <c r="Q288" i="2"/>
  <c r="N288" i="2"/>
  <c r="M288" i="2"/>
  <c r="L288" i="2"/>
  <c r="K288" i="2"/>
  <c r="J288" i="2"/>
  <c r="I288" i="2"/>
  <c r="O288" i="2" s="1"/>
  <c r="H288" i="2"/>
  <c r="G288" i="2"/>
  <c r="F288" i="2"/>
  <c r="E288" i="2"/>
  <c r="D288" i="2"/>
  <c r="C288" i="2"/>
  <c r="B288" i="2"/>
  <c r="A288" i="2"/>
  <c r="R287" i="2"/>
  <c r="Q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A287" i="2"/>
  <c r="R286" i="2"/>
  <c r="Q286" i="2"/>
  <c r="N286" i="2"/>
  <c r="M286" i="2"/>
  <c r="L286" i="2"/>
  <c r="K286" i="2"/>
  <c r="J286" i="2"/>
  <c r="I286" i="2"/>
  <c r="O286" i="2" s="1"/>
  <c r="H286" i="2"/>
  <c r="G286" i="2"/>
  <c r="F286" i="2"/>
  <c r="E286" i="2"/>
  <c r="D286" i="2"/>
  <c r="C286" i="2"/>
  <c r="B286" i="2"/>
  <c r="A286" i="2"/>
  <c r="R285" i="2"/>
  <c r="Q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A285" i="2"/>
  <c r="R284" i="2"/>
  <c r="Q284" i="2"/>
  <c r="N284" i="2"/>
  <c r="M284" i="2"/>
  <c r="L284" i="2"/>
  <c r="P284" i="2" s="1"/>
  <c r="K284" i="2"/>
  <c r="J284" i="2"/>
  <c r="I284" i="2"/>
  <c r="H284" i="2"/>
  <c r="G284" i="2"/>
  <c r="F284" i="2"/>
  <c r="E284" i="2"/>
  <c r="D284" i="2"/>
  <c r="C284" i="2"/>
  <c r="B284" i="2"/>
  <c r="A284" i="2"/>
  <c r="R283" i="2"/>
  <c r="Q283" i="2"/>
  <c r="N283" i="2"/>
  <c r="M283" i="2"/>
  <c r="L283" i="2"/>
  <c r="O283" i="2" s="1"/>
  <c r="K283" i="2"/>
  <c r="J283" i="2"/>
  <c r="I283" i="2"/>
  <c r="H283" i="2"/>
  <c r="G283" i="2"/>
  <c r="F283" i="2"/>
  <c r="E283" i="2"/>
  <c r="D283" i="2"/>
  <c r="C283" i="2"/>
  <c r="B283" i="2"/>
  <c r="A283" i="2"/>
  <c r="R282" i="2"/>
  <c r="Q282" i="2"/>
  <c r="N282" i="2"/>
  <c r="M282" i="2"/>
  <c r="L282" i="2"/>
  <c r="P282" i="2" s="1"/>
  <c r="K282" i="2"/>
  <c r="J282" i="2"/>
  <c r="I282" i="2"/>
  <c r="H282" i="2"/>
  <c r="G282" i="2"/>
  <c r="F282" i="2"/>
  <c r="E282" i="2"/>
  <c r="D282" i="2"/>
  <c r="C282" i="2"/>
  <c r="B282" i="2"/>
  <c r="A282" i="2"/>
  <c r="R281" i="2"/>
  <c r="Q281" i="2"/>
  <c r="N281" i="2"/>
  <c r="M281" i="2"/>
  <c r="L281" i="2"/>
  <c r="K281" i="2"/>
  <c r="J281" i="2"/>
  <c r="I281" i="2"/>
  <c r="P281" i="2" s="1"/>
  <c r="H281" i="2"/>
  <c r="G281" i="2"/>
  <c r="F281" i="2"/>
  <c r="E281" i="2"/>
  <c r="D281" i="2"/>
  <c r="C281" i="2"/>
  <c r="B281" i="2"/>
  <c r="A281" i="2"/>
  <c r="R280" i="2"/>
  <c r="Q280" i="2"/>
  <c r="N280" i="2"/>
  <c r="M280" i="2"/>
  <c r="L280" i="2"/>
  <c r="K280" i="2"/>
  <c r="J280" i="2"/>
  <c r="I280" i="2"/>
  <c r="O280" i="2" s="1"/>
  <c r="H280" i="2"/>
  <c r="G280" i="2"/>
  <c r="F280" i="2"/>
  <c r="E280" i="2"/>
  <c r="D280" i="2"/>
  <c r="C280" i="2"/>
  <c r="B280" i="2"/>
  <c r="A280" i="2"/>
  <c r="R279" i="2"/>
  <c r="Q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A279" i="2"/>
  <c r="R278" i="2"/>
  <c r="Q278" i="2"/>
  <c r="N278" i="2"/>
  <c r="M278" i="2"/>
  <c r="L278" i="2"/>
  <c r="K278" i="2"/>
  <c r="J278" i="2"/>
  <c r="I278" i="2"/>
  <c r="O278" i="2" s="1"/>
  <c r="H278" i="2"/>
  <c r="G278" i="2"/>
  <c r="F278" i="2"/>
  <c r="E278" i="2"/>
  <c r="D278" i="2"/>
  <c r="C278" i="2"/>
  <c r="B278" i="2"/>
  <c r="A278" i="2"/>
  <c r="R277" i="2"/>
  <c r="Q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A277" i="2"/>
  <c r="R276" i="2"/>
  <c r="Q276" i="2"/>
  <c r="N276" i="2"/>
  <c r="M276" i="2"/>
  <c r="L276" i="2"/>
  <c r="P276" i="2" s="1"/>
  <c r="K276" i="2"/>
  <c r="J276" i="2"/>
  <c r="I276" i="2"/>
  <c r="H276" i="2"/>
  <c r="G276" i="2"/>
  <c r="F276" i="2"/>
  <c r="E276" i="2"/>
  <c r="D276" i="2"/>
  <c r="C276" i="2"/>
  <c r="B276" i="2"/>
  <c r="A276" i="2"/>
  <c r="R275" i="2"/>
  <c r="Q275" i="2"/>
  <c r="N275" i="2"/>
  <c r="M275" i="2"/>
  <c r="L275" i="2"/>
  <c r="O275" i="2" s="1"/>
  <c r="K275" i="2"/>
  <c r="J275" i="2"/>
  <c r="I275" i="2"/>
  <c r="H275" i="2"/>
  <c r="G275" i="2"/>
  <c r="F275" i="2"/>
  <c r="E275" i="2"/>
  <c r="D275" i="2"/>
  <c r="C275" i="2"/>
  <c r="B275" i="2"/>
  <c r="A275" i="2"/>
  <c r="R274" i="2"/>
  <c r="Q274" i="2"/>
  <c r="N274" i="2"/>
  <c r="M274" i="2"/>
  <c r="L274" i="2"/>
  <c r="P274" i="2" s="1"/>
  <c r="K274" i="2"/>
  <c r="J274" i="2"/>
  <c r="I274" i="2"/>
  <c r="H274" i="2"/>
  <c r="G274" i="2"/>
  <c r="F274" i="2"/>
  <c r="E274" i="2"/>
  <c r="D274" i="2"/>
  <c r="C274" i="2"/>
  <c r="B274" i="2"/>
  <c r="A274" i="2"/>
  <c r="R273" i="2"/>
  <c r="Q273" i="2"/>
  <c r="N273" i="2"/>
  <c r="M273" i="2"/>
  <c r="L273" i="2"/>
  <c r="P273" i="2" s="1"/>
  <c r="K273" i="2"/>
  <c r="J273" i="2"/>
  <c r="I273" i="2"/>
  <c r="H273" i="2"/>
  <c r="G273" i="2"/>
  <c r="F273" i="2"/>
  <c r="E273" i="2"/>
  <c r="D273" i="2"/>
  <c r="C273" i="2"/>
  <c r="B273" i="2"/>
  <c r="A273" i="2"/>
  <c r="R272" i="2"/>
  <c r="Q272" i="2"/>
  <c r="N272" i="2"/>
  <c r="M272" i="2"/>
  <c r="L272" i="2"/>
  <c r="P272" i="2" s="1"/>
  <c r="K272" i="2"/>
  <c r="J272" i="2"/>
  <c r="I272" i="2"/>
  <c r="H272" i="2"/>
  <c r="G272" i="2"/>
  <c r="F272" i="2"/>
  <c r="E272" i="2"/>
  <c r="D272" i="2"/>
  <c r="C272" i="2"/>
  <c r="B272" i="2"/>
  <c r="A272" i="2"/>
  <c r="R271" i="2"/>
  <c r="Q271" i="2"/>
  <c r="N271" i="2"/>
  <c r="M271" i="2"/>
  <c r="L271" i="2"/>
  <c r="O271" i="2" s="1"/>
  <c r="K271" i="2"/>
  <c r="J271" i="2"/>
  <c r="I271" i="2"/>
  <c r="H271" i="2"/>
  <c r="G271" i="2"/>
  <c r="F271" i="2"/>
  <c r="E271" i="2"/>
  <c r="D271" i="2"/>
  <c r="C271" i="2"/>
  <c r="B271" i="2"/>
  <c r="A271" i="2"/>
  <c r="R270" i="2"/>
  <c r="Q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A270" i="2"/>
  <c r="R269" i="2"/>
  <c r="Q269" i="2"/>
  <c r="N269" i="2"/>
  <c r="M269" i="2"/>
  <c r="L269" i="2"/>
  <c r="P269" i="2" s="1"/>
  <c r="K269" i="2"/>
  <c r="J269" i="2"/>
  <c r="I269" i="2"/>
  <c r="H269" i="2"/>
  <c r="G269" i="2"/>
  <c r="F269" i="2"/>
  <c r="E269" i="2"/>
  <c r="D269" i="2"/>
  <c r="C269" i="2"/>
  <c r="B269" i="2"/>
  <c r="A269" i="2"/>
  <c r="R268" i="2"/>
  <c r="Q268" i="2"/>
  <c r="N268" i="2"/>
  <c r="M268" i="2"/>
  <c r="L268" i="2"/>
  <c r="P268" i="2" s="1"/>
  <c r="K268" i="2"/>
  <c r="J268" i="2"/>
  <c r="I268" i="2"/>
  <c r="H268" i="2"/>
  <c r="G268" i="2"/>
  <c r="F268" i="2"/>
  <c r="E268" i="2"/>
  <c r="D268" i="2"/>
  <c r="C268" i="2"/>
  <c r="B268" i="2"/>
  <c r="A268" i="2"/>
  <c r="R267" i="2"/>
  <c r="Q267" i="2"/>
  <c r="N267" i="2"/>
  <c r="M267" i="2"/>
  <c r="L267" i="2"/>
  <c r="P267" i="2" s="1"/>
  <c r="K267" i="2"/>
  <c r="J267" i="2"/>
  <c r="I267" i="2"/>
  <c r="H267" i="2"/>
  <c r="G267" i="2"/>
  <c r="F267" i="2"/>
  <c r="E267" i="2"/>
  <c r="D267" i="2"/>
  <c r="C267" i="2"/>
  <c r="B267" i="2"/>
  <c r="A267" i="2"/>
  <c r="R266" i="2"/>
  <c r="Q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A266" i="2"/>
  <c r="R265" i="2"/>
  <c r="Q265" i="2"/>
  <c r="N265" i="2"/>
  <c r="M265" i="2"/>
  <c r="L265" i="2"/>
  <c r="P265" i="2" s="1"/>
  <c r="K265" i="2"/>
  <c r="J265" i="2"/>
  <c r="I265" i="2"/>
  <c r="H265" i="2"/>
  <c r="G265" i="2"/>
  <c r="F265" i="2"/>
  <c r="E265" i="2"/>
  <c r="D265" i="2"/>
  <c r="C265" i="2"/>
  <c r="B265" i="2"/>
  <c r="A265" i="2"/>
  <c r="R264" i="2"/>
  <c r="Q264" i="2"/>
  <c r="N264" i="2"/>
  <c r="M264" i="2"/>
  <c r="L264" i="2"/>
  <c r="P264" i="2" s="1"/>
  <c r="K264" i="2"/>
  <c r="J264" i="2"/>
  <c r="I264" i="2"/>
  <c r="H264" i="2"/>
  <c r="G264" i="2"/>
  <c r="F264" i="2"/>
  <c r="E264" i="2"/>
  <c r="D264" i="2"/>
  <c r="C264" i="2"/>
  <c r="B264" i="2"/>
  <c r="A264" i="2"/>
  <c r="R263" i="2"/>
  <c r="Q263" i="2"/>
  <c r="N263" i="2"/>
  <c r="M263" i="2"/>
  <c r="L263" i="2"/>
  <c r="O263" i="2" s="1"/>
  <c r="K263" i="2"/>
  <c r="J263" i="2"/>
  <c r="I263" i="2"/>
  <c r="H263" i="2"/>
  <c r="G263" i="2"/>
  <c r="F263" i="2"/>
  <c r="E263" i="2"/>
  <c r="D263" i="2"/>
  <c r="C263" i="2"/>
  <c r="B263" i="2"/>
  <c r="A263" i="2"/>
  <c r="R262" i="2"/>
  <c r="Q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A262" i="2"/>
  <c r="R261" i="2"/>
  <c r="Q261" i="2"/>
  <c r="N261" i="2"/>
  <c r="M261" i="2"/>
  <c r="L261" i="2"/>
  <c r="P261" i="2" s="1"/>
  <c r="K261" i="2"/>
  <c r="J261" i="2"/>
  <c r="I261" i="2"/>
  <c r="H261" i="2"/>
  <c r="G261" i="2"/>
  <c r="F261" i="2"/>
  <c r="E261" i="2"/>
  <c r="D261" i="2"/>
  <c r="C261" i="2"/>
  <c r="B261" i="2"/>
  <c r="A261" i="2"/>
  <c r="R260" i="2"/>
  <c r="Q260" i="2"/>
  <c r="N260" i="2"/>
  <c r="M260" i="2"/>
  <c r="L260" i="2"/>
  <c r="P260" i="2" s="1"/>
  <c r="K260" i="2"/>
  <c r="J260" i="2"/>
  <c r="I260" i="2"/>
  <c r="H260" i="2"/>
  <c r="G260" i="2"/>
  <c r="F260" i="2"/>
  <c r="E260" i="2"/>
  <c r="D260" i="2"/>
  <c r="C260" i="2"/>
  <c r="B260" i="2"/>
  <c r="A260" i="2"/>
  <c r="R259" i="2"/>
  <c r="Q259" i="2"/>
  <c r="N259" i="2"/>
  <c r="M259" i="2"/>
  <c r="L259" i="2"/>
  <c r="P259" i="2" s="1"/>
  <c r="K259" i="2"/>
  <c r="J259" i="2"/>
  <c r="I259" i="2"/>
  <c r="H259" i="2"/>
  <c r="G259" i="2"/>
  <c r="F259" i="2"/>
  <c r="E259" i="2"/>
  <c r="D259" i="2"/>
  <c r="C259" i="2"/>
  <c r="B259" i="2"/>
  <c r="A259" i="2"/>
  <c r="R258" i="2"/>
  <c r="Q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A258" i="2"/>
  <c r="R257" i="2"/>
  <c r="Q257" i="2"/>
  <c r="N257" i="2"/>
  <c r="M257" i="2"/>
  <c r="L257" i="2"/>
  <c r="P257" i="2" s="1"/>
  <c r="K257" i="2"/>
  <c r="J257" i="2"/>
  <c r="I257" i="2"/>
  <c r="H257" i="2"/>
  <c r="G257" i="2"/>
  <c r="F257" i="2"/>
  <c r="E257" i="2"/>
  <c r="D257" i="2"/>
  <c r="C257" i="2"/>
  <c r="B257" i="2"/>
  <c r="A257" i="2"/>
  <c r="R256" i="2"/>
  <c r="Q256" i="2"/>
  <c r="N256" i="2"/>
  <c r="M256" i="2"/>
  <c r="L256" i="2"/>
  <c r="P256" i="2" s="1"/>
  <c r="K256" i="2"/>
  <c r="J256" i="2"/>
  <c r="I256" i="2"/>
  <c r="H256" i="2"/>
  <c r="G256" i="2"/>
  <c r="F256" i="2"/>
  <c r="E256" i="2"/>
  <c r="D256" i="2"/>
  <c r="C256" i="2"/>
  <c r="B256" i="2"/>
  <c r="A256" i="2"/>
  <c r="R255" i="2"/>
  <c r="Q255" i="2"/>
  <c r="N255" i="2"/>
  <c r="M255" i="2"/>
  <c r="L255" i="2"/>
  <c r="O255" i="2" s="1"/>
  <c r="K255" i="2"/>
  <c r="J255" i="2"/>
  <c r="I255" i="2"/>
  <c r="H255" i="2"/>
  <c r="G255" i="2"/>
  <c r="F255" i="2"/>
  <c r="E255" i="2"/>
  <c r="D255" i="2"/>
  <c r="C255" i="2"/>
  <c r="B255" i="2"/>
  <c r="A255" i="2"/>
  <c r="R254" i="2"/>
  <c r="Q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A254" i="2"/>
  <c r="R253" i="2"/>
  <c r="Q253" i="2"/>
  <c r="N253" i="2"/>
  <c r="M253" i="2"/>
  <c r="L253" i="2"/>
  <c r="P253" i="2" s="1"/>
  <c r="K253" i="2"/>
  <c r="J253" i="2"/>
  <c r="I253" i="2"/>
  <c r="H253" i="2"/>
  <c r="G253" i="2"/>
  <c r="F253" i="2"/>
  <c r="E253" i="2"/>
  <c r="D253" i="2"/>
  <c r="C253" i="2"/>
  <c r="B253" i="2"/>
  <c r="A253" i="2"/>
  <c r="R252" i="2"/>
  <c r="Q252" i="2"/>
  <c r="N252" i="2"/>
  <c r="M252" i="2"/>
  <c r="L252" i="2"/>
  <c r="P252" i="2" s="1"/>
  <c r="K252" i="2"/>
  <c r="J252" i="2"/>
  <c r="I252" i="2"/>
  <c r="H252" i="2"/>
  <c r="G252" i="2"/>
  <c r="F252" i="2"/>
  <c r="E252" i="2"/>
  <c r="D252" i="2"/>
  <c r="C252" i="2"/>
  <c r="B252" i="2"/>
  <c r="A252" i="2"/>
  <c r="R251" i="2"/>
  <c r="Q251" i="2"/>
  <c r="N251" i="2"/>
  <c r="M251" i="2"/>
  <c r="L251" i="2"/>
  <c r="P251" i="2" s="1"/>
  <c r="K251" i="2"/>
  <c r="J251" i="2"/>
  <c r="I251" i="2"/>
  <c r="H251" i="2"/>
  <c r="G251" i="2"/>
  <c r="F251" i="2"/>
  <c r="E251" i="2"/>
  <c r="D251" i="2"/>
  <c r="C251" i="2"/>
  <c r="B251" i="2"/>
  <c r="A251" i="2"/>
  <c r="R250" i="2"/>
  <c r="Q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A250" i="2"/>
  <c r="R249" i="2"/>
  <c r="Q249" i="2"/>
  <c r="N249" i="2"/>
  <c r="M249" i="2"/>
  <c r="L249" i="2"/>
  <c r="P249" i="2" s="1"/>
  <c r="K249" i="2"/>
  <c r="J249" i="2"/>
  <c r="I249" i="2"/>
  <c r="H249" i="2"/>
  <c r="G249" i="2"/>
  <c r="F249" i="2"/>
  <c r="E249" i="2"/>
  <c r="D249" i="2"/>
  <c r="C249" i="2"/>
  <c r="B249" i="2"/>
  <c r="A249" i="2"/>
  <c r="R248" i="2"/>
  <c r="Q248" i="2"/>
  <c r="N248" i="2"/>
  <c r="M248" i="2"/>
  <c r="L248" i="2"/>
  <c r="P248" i="2" s="1"/>
  <c r="K248" i="2"/>
  <c r="J248" i="2"/>
  <c r="I248" i="2"/>
  <c r="H248" i="2"/>
  <c r="G248" i="2"/>
  <c r="F248" i="2"/>
  <c r="E248" i="2"/>
  <c r="D248" i="2"/>
  <c r="C248" i="2"/>
  <c r="B248" i="2"/>
  <c r="A248" i="2"/>
  <c r="R247" i="2"/>
  <c r="Q247" i="2"/>
  <c r="N247" i="2"/>
  <c r="M247" i="2"/>
  <c r="L247" i="2"/>
  <c r="O247" i="2" s="1"/>
  <c r="K247" i="2"/>
  <c r="J247" i="2"/>
  <c r="I247" i="2"/>
  <c r="H247" i="2"/>
  <c r="G247" i="2"/>
  <c r="F247" i="2"/>
  <c r="E247" i="2"/>
  <c r="D247" i="2"/>
  <c r="C247" i="2"/>
  <c r="B247" i="2"/>
  <c r="A247" i="2"/>
  <c r="R246" i="2"/>
  <c r="Q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A246" i="2"/>
  <c r="R245" i="2"/>
  <c r="Q245" i="2"/>
  <c r="N245" i="2"/>
  <c r="M245" i="2"/>
  <c r="L245" i="2"/>
  <c r="P245" i="2" s="1"/>
  <c r="K245" i="2"/>
  <c r="J245" i="2"/>
  <c r="I245" i="2"/>
  <c r="H245" i="2"/>
  <c r="G245" i="2"/>
  <c r="F245" i="2"/>
  <c r="E245" i="2"/>
  <c r="D245" i="2"/>
  <c r="C245" i="2"/>
  <c r="B245" i="2"/>
  <c r="A245" i="2"/>
  <c r="R244" i="2"/>
  <c r="Q244" i="2"/>
  <c r="N244" i="2"/>
  <c r="M244" i="2"/>
  <c r="L244" i="2"/>
  <c r="P244" i="2" s="1"/>
  <c r="K244" i="2"/>
  <c r="J244" i="2"/>
  <c r="I244" i="2"/>
  <c r="H244" i="2"/>
  <c r="G244" i="2"/>
  <c r="F244" i="2"/>
  <c r="E244" i="2"/>
  <c r="D244" i="2"/>
  <c r="C244" i="2"/>
  <c r="B244" i="2"/>
  <c r="A244" i="2"/>
  <c r="R243" i="2"/>
  <c r="Q243" i="2"/>
  <c r="N243" i="2"/>
  <c r="M243" i="2"/>
  <c r="L243" i="2"/>
  <c r="P243" i="2" s="1"/>
  <c r="K243" i="2"/>
  <c r="J243" i="2"/>
  <c r="I243" i="2"/>
  <c r="H243" i="2"/>
  <c r="G243" i="2"/>
  <c r="F243" i="2"/>
  <c r="E243" i="2"/>
  <c r="D243" i="2"/>
  <c r="C243" i="2"/>
  <c r="B243" i="2"/>
  <c r="A243" i="2"/>
  <c r="R242" i="2"/>
  <c r="Q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A242" i="2"/>
  <c r="R241" i="2"/>
  <c r="Q241" i="2"/>
  <c r="N241" i="2"/>
  <c r="M241" i="2"/>
  <c r="L241" i="2"/>
  <c r="P241" i="2" s="1"/>
  <c r="K241" i="2"/>
  <c r="J241" i="2"/>
  <c r="I241" i="2"/>
  <c r="H241" i="2"/>
  <c r="G241" i="2"/>
  <c r="F241" i="2"/>
  <c r="E241" i="2"/>
  <c r="D241" i="2"/>
  <c r="C241" i="2"/>
  <c r="B241" i="2"/>
  <c r="A241" i="2"/>
  <c r="R240" i="2"/>
  <c r="Q240" i="2"/>
  <c r="N240" i="2"/>
  <c r="M240" i="2"/>
  <c r="L240" i="2"/>
  <c r="P240" i="2" s="1"/>
  <c r="K240" i="2"/>
  <c r="J240" i="2"/>
  <c r="I240" i="2"/>
  <c r="H240" i="2"/>
  <c r="G240" i="2"/>
  <c r="F240" i="2"/>
  <c r="E240" i="2"/>
  <c r="D240" i="2"/>
  <c r="C240" i="2"/>
  <c r="B240" i="2"/>
  <c r="A240" i="2"/>
  <c r="R239" i="2"/>
  <c r="Q239" i="2"/>
  <c r="N239" i="2"/>
  <c r="M239" i="2"/>
  <c r="L239" i="2"/>
  <c r="O239" i="2" s="1"/>
  <c r="K239" i="2"/>
  <c r="J239" i="2"/>
  <c r="I239" i="2"/>
  <c r="H239" i="2"/>
  <c r="G239" i="2"/>
  <c r="F239" i="2"/>
  <c r="E239" i="2"/>
  <c r="D239" i="2"/>
  <c r="C239" i="2"/>
  <c r="B239" i="2"/>
  <c r="A239" i="2"/>
  <c r="R238" i="2"/>
  <c r="Q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A238" i="2"/>
  <c r="R237" i="2"/>
  <c r="Q237" i="2"/>
  <c r="N237" i="2"/>
  <c r="M237" i="2"/>
  <c r="L237" i="2"/>
  <c r="P237" i="2" s="1"/>
  <c r="K237" i="2"/>
  <c r="J237" i="2"/>
  <c r="I237" i="2"/>
  <c r="H237" i="2"/>
  <c r="G237" i="2"/>
  <c r="F237" i="2"/>
  <c r="E237" i="2"/>
  <c r="D237" i="2"/>
  <c r="C237" i="2"/>
  <c r="B237" i="2"/>
  <c r="A237" i="2"/>
  <c r="R236" i="2"/>
  <c r="Q236" i="2"/>
  <c r="N236" i="2"/>
  <c r="M236" i="2"/>
  <c r="L236" i="2"/>
  <c r="P236" i="2" s="1"/>
  <c r="K236" i="2"/>
  <c r="J236" i="2"/>
  <c r="I236" i="2"/>
  <c r="H236" i="2"/>
  <c r="G236" i="2"/>
  <c r="F236" i="2"/>
  <c r="E236" i="2"/>
  <c r="D236" i="2"/>
  <c r="C236" i="2"/>
  <c r="B236" i="2"/>
  <c r="A236" i="2"/>
  <c r="R235" i="2"/>
  <c r="Q235" i="2"/>
  <c r="N235" i="2"/>
  <c r="M235" i="2"/>
  <c r="L235" i="2"/>
  <c r="P235" i="2" s="1"/>
  <c r="K235" i="2"/>
  <c r="J235" i="2"/>
  <c r="I235" i="2"/>
  <c r="H235" i="2"/>
  <c r="G235" i="2"/>
  <c r="F235" i="2"/>
  <c r="E235" i="2"/>
  <c r="D235" i="2"/>
  <c r="C235" i="2"/>
  <c r="B235" i="2"/>
  <c r="A235" i="2"/>
  <c r="R234" i="2"/>
  <c r="Q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A234" i="2"/>
  <c r="R233" i="2"/>
  <c r="Q233" i="2"/>
  <c r="N233" i="2"/>
  <c r="M233" i="2"/>
  <c r="L233" i="2"/>
  <c r="P233" i="2" s="1"/>
  <c r="K233" i="2"/>
  <c r="J233" i="2"/>
  <c r="I233" i="2"/>
  <c r="H233" i="2"/>
  <c r="G233" i="2"/>
  <c r="F233" i="2"/>
  <c r="E233" i="2"/>
  <c r="D233" i="2"/>
  <c r="C233" i="2"/>
  <c r="B233" i="2"/>
  <c r="A233" i="2"/>
  <c r="R232" i="2"/>
  <c r="Q232" i="2"/>
  <c r="N232" i="2"/>
  <c r="M232" i="2"/>
  <c r="L232" i="2"/>
  <c r="P232" i="2" s="1"/>
  <c r="K232" i="2"/>
  <c r="J232" i="2"/>
  <c r="I232" i="2"/>
  <c r="H232" i="2"/>
  <c r="G232" i="2"/>
  <c r="F232" i="2"/>
  <c r="E232" i="2"/>
  <c r="D232" i="2"/>
  <c r="C232" i="2"/>
  <c r="B232" i="2"/>
  <c r="A232" i="2"/>
  <c r="R231" i="2"/>
  <c r="Q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A231" i="2"/>
  <c r="R230" i="2"/>
  <c r="Q230" i="2"/>
  <c r="N230" i="2"/>
  <c r="M230" i="2"/>
  <c r="L230" i="2"/>
  <c r="K230" i="2"/>
  <c r="J230" i="2"/>
  <c r="I230" i="2"/>
  <c r="O230" i="2" s="1"/>
  <c r="H230" i="2"/>
  <c r="G230" i="2"/>
  <c r="F230" i="2"/>
  <c r="E230" i="2"/>
  <c r="D230" i="2"/>
  <c r="C230" i="2"/>
  <c r="B230" i="2"/>
  <c r="A230" i="2"/>
  <c r="R229" i="2"/>
  <c r="Q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A229" i="2"/>
  <c r="R228" i="2"/>
  <c r="Q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A228" i="2"/>
  <c r="R227" i="2"/>
  <c r="Q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A227" i="2"/>
  <c r="R226" i="2"/>
  <c r="Q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A226" i="2"/>
  <c r="R225" i="2"/>
  <c r="Q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A225" i="2"/>
  <c r="R224" i="2"/>
  <c r="Q224" i="2"/>
  <c r="N224" i="2"/>
  <c r="M224" i="2"/>
  <c r="L224" i="2"/>
  <c r="K224" i="2"/>
  <c r="J224" i="2"/>
  <c r="I224" i="2"/>
  <c r="O224" i="2" s="1"/>
  <c r="H224" i="2"/>
  <c r="G224" i="2"/>
  <c r="F224" i="2"/>
  <c r="E224" i="2"/>
  <c r="D224" i="2"/>
  <c r="C224" i="2"/>
  <c r="B224" i="2"/>
  <c r="A224" i="2"/>
  <c r="R223" i="2"/>
  <c r="Q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A223" i="2"/>
  <c r="R222" i="2"/>
  <c r="Q222" i="2"/>
  <c r="N222" i="2"/>
  <c r="M222" i="2"/>
  <c r="L222" i="2"/>
  <c r="K222" i="2"/>
  <c r="J222" i="2"/>
  <c r="I222" i="2"/>
  <c r="O222" i="2" s="1"/>
  <c r="H222" i="2"/>
  <c r="G222" i="2"/>
  <c r="F222" i="2"/>
  <c r="E222" i="2"/>
  <c r="D222" i="2"/>
  <c r="C222" i="2"/>
  <c r="B222" i="2"/>
  <c r="A222" i="2"/>
  <c r="R221" i="2"/>
  <c r="Q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A221" i="2"/>
  <c r="R220" i="2"/>
  <c r="Q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A220" i="2"/>
  <c r="R219" i="2"/>
  <c r="Q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A219" i="2"/>
  <c r="R218" i="2"/>
  <c r="Q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A218" i="2"/>
  <c r="R217" i="2"/>
  <c r="Q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A217" i="2"/>
  <c r="R216" i="2"/>
  <c r="Q216" i="2"/>
  <c r="N216" i="2"/>
  <c r="M216" i="2"/>
  <c r="L216" i="2"/>
  <c r="K216" i="2"/>
  <c r="J216" i="2"/>
  <c r="I216" i="2"/>
  <c r="O216" i="2" s="1"/>
  <c r="H216" i="2"/>
  <c r="G216" i="2"/>
  <c r="F216" i="2"/>
  <c r="E216" i="2"/>
  <c r="D216" i="2"/>
  <c r="C216" i="2"/>
  <c r="B216" i="2"/>
  <c r="A216" i="2"/>
  <c r="R215" i="2"/>
  <c r="Q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A215" i="2"/>
  <c r="R214" i="2"/>
  <c r="Q214" i="2"/>
  <c r="N214" i="2"/>
  <c r="M214" i="2"/>
  <c r="L214" i="2"/>
  <c r="K214" i="2"/>
  <c r="J214" i="2"/>
  <c r="I214" i="2"/>
  <c r="O214" i="2" s="1"/>
  <c r="H214" i="2"/>
  <c r="G214" i="2"/>
  <c r="F214" i="2"/>
  <c r="E214" i="2"/>
  <c r="D214" i="2"/>
  <c r="C214" i="2"/>
  <c r="B214" i="2"/>
  <c r="A214" i="2"/>
  <c r="R213" i="2"/>
  <c r="Q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A213" i="2"/>
  <c r="R212" i="2"/>
  <c r="Q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A212" i="2"/>
  <c r="R211" i="2"/>
  <c r="Q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A211" i="2"/>
  <c r="R210" i="2"/>
  <c r="Q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A210" i="2"/>
  <c r="R209" i="2"/>
  <c r="Q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A209" i="2"/>
  <c r="R208" i="2"/>
  <c r="Q208" i="2"/>
  <c r="N208" i="2"/>
  <c r="M208" i="2"/>
  <c r="L208" i="2"/>
  <c r="K208" i="2"/>
  <c r="J208" i="2"/>
  <c r="I208" i="2"/>
  <c r="O208" i="2" s="1"/>
  <c r="H208" i="2"/>
  <c r="G208" i="2"/>
  <c r="F208" i="2"/>
  <c r="E208" i="2"/>
  <c r="D208" i="2"/>
  <c r="C208" i="2"/>
  <c r="B208" i="2"/>
  <c r="A208" i="2"/>
  <c r="R207" i="2"/>
  <c r="Q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A207" i="2"/>
  <c r="R206" i="2"/>
  <c r="Q206" i="2"/>
  <c r="N206" i="2"/>
  <c r="M206" i="2"/>
  <c r="L206" i="2"/>
  <c r="K206" i="2"/>
  <c r="J206" i="2"/>
  <c r="I206" i="2"/>
  <c r="O206" i="2" s="1"/>
  <c r="H206" i="2"/>
  <c r="G206" i="2"/>
  <c r="F206" i="2"/>
  <c r="E206" i="2"/>
  <c r="D206" i="2"/>
  <c r="C206" i="2"/>
  <c r="B206" i="2"/>
  <c r="A206" i="2"/>
  <c r="R205" i="2"/>
  <c r="Q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A205" i="2"/>
  <c r="R204" i="2"/>
  <c r="Q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A204" i="2"/>
  <c r="R203" i="2"/>
  <c r="Q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A203" i="2"/>
  <c r="R202" i="2"/>
  <c r="Q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A202" i="2"/>
  <c r="R201" i="2"/>
  <c r="Q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A201" i="2"/>
  <c r="R200" i="2"/>
  <c r="Q200" i="2"/>
  <c r="N200" i="2"/>
  <c r="M200" i="2"/>
  <c r="L200" i="2"/>
  <c r="K200" i="2"/>
  <c r="J200" i="2"/>
  <c r="I200" i="2"/>
  <c r="O200" i="2" s="1"/>
  <c r="H200" i="2"/>
  <c r="G200" i="2"/>
  <c r="F200" i="2"/>
  <c r="E200" i="2"/>
  <c r="D200" i="2"/>
  <c r="C200" i="2"/>
  <c r="B200" i="2"/>
  <c r="A200" i="2"/>
  <c r="R199" i="2"/>
  <c r="Q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A199" i="2"/>
  <c r="R198" i="2"/>
  <c r="Q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A198" i="2"/>
  <c r="R197" i="2"/>
  <c r="Q197" i="2"/>
  <c r="N197" i="2"/>
  <c r="M197" i="2"/>
  <c r="L197" i="2"/>
  <c r="K197" i="2"/>
  <c r="O197" i="2" s="1"/>
  <c r="J197" i="2"/>
  <c r="I197" i="2"/>
  <c r="H197" i="2"/>
  <c r="G197" i="2"/>
  <c r="F197" i="2"/>
  <c r="E197" i="2"/>
  <c r="D197" i="2"/>
  <c r="C197" i="2"/>
  <c r="B197" i="2"/>
  <c r="A197" i="2"/>
  <c r="R196" i="2"/>
  <c r="Q196" i="2"/>
  <c r="N196" i="2"/>
  <c r="M196" i="2"/>
  <c r="L196" i="2"/>
  <c r="K196" i="2"/>
  <c r="O196" i="2" s="1"/>
  <c r="J196" i="2"/>
  <c r="I196" i="2"/>
  <c r="H196" i="2"/>
  <c r="G196" i="2"/>
  <c r="F196" i="2"/>
  <c r="E196" i="2"/>
  <c r="D196" i="2"/>
  <c r="C196" i="2"/>
  <c r="B196" i="2"/>
  <c r="A196" i="2"/>
  <c r="R195" i="2"/>
  <c r="Q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A195" i="2"/>
  <c r="R194" i="2"/>
  <c r="Q194" i="2"/>
  <c r="N194" i="2"/>
  <c r="M194" i="2"/>
  <c r="L194" i="2"/>
  <c r="K194" i="2"/>
  <c r="O194" i="2" s="1"/>
  <c r="J194" i="2"/>
  <c r="I194" i="2"/>
  <c r="H194" i="2"/>
  <c r="G194" i="2"/>
  <c r="F194" i="2"/>
  <c r="E194" i="2"/>
  <c r="D194" i="2"/>
  <c r="C194" i="2"/>
  <c r="B194" i="2"/>
  <c r="A194" i="2"/>
  <c r="R193" i="2"/>
  <c r="Q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A193" i="2"/>
  <c r="R192" i="2"/>
  <c r="Q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A192" i="2"/>
  <c r="R191" i="2"/>
  <c r="Q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A191" i="2"/>
  <c r="R190" i="2"/>
  <c r="Q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A190" i="2"/>
  <c r="R189" i="2"/>
  <c r="Q189" i="2"/>
  <c r="N189" i="2"/>
  <c r="M189" i="2"/>
  <c r="L189" i="2"/>
  <c r="K189" i="2"/>
  <c r="O189" i="2" s="1"/>
  <c r="J189" i="2"/>
  <c r="I189" i="2"/>
  <c r="H189" i="2"/>
  <c r="G189" i="2"/>
  <c r="F189" i="2"/>
  <c r="E189" i="2"/>
  <c r="D189" i="2"/>
  <c r="C189" i="2"/>
  <c r="B189" i="2"/>
  <c r="A189" i="2"/>
  <c r="R188" i="2"/>
  <c r="Q188" i="2"/>
  <c r="N188" i="2"/>
  <c r="M188" i="2"/>
  <c r="L188" i="2"/>
  <c r="K188" i="2"/>
  <c r="O188" i="2" s="1"/>
  <c r="J188" i="2"/>
  <c r="I188" i="2"/>
  <c r="H188" i="2"/>
  <c r="G188" i="2"/>
  <c r="F188" i="2"/>
  <c r="E188" i="2"/>
  <c r="D188" i="2"/>
  <c r="C188" i="2"/>
  <c r="B188" i="2"/>
  <c r="A188" i="2"/>
  <c r="R187" i="2"/>
  <c r="Q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A187" i="2"/>
  <c r="R186" i="2"/>
  <c r="Q186" i="2"/>
  <c r="N186" i="2"/>
  <c r="M186" i="2"/>
  <c r="L186" i="2"/>
  <c r="K186" i="2"/>
  <c r="O186" i="2" s="1"/>
  <c r="J186" i="2"/>
  <c r="I186" i="2"/>
  <c r="H186" i="2"/>
  <c r="G186" i="2"/>
  <c r="F186" i="2"/>
  <c r="E186" i="2"/>
  <c r="D186" i="2"/>
  <c r="C186" i="2"/>
  <c r="B186" i="2"/>
  <c r="A186" i="2"/>
  <c r="R185" i="2"/>
  <c r="Q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185" i="2"/>
  <c r="R184" i="2"/>
  <c r="Q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A184" i="2"/>
  <c r="R183" i="2"/>
  <c r="Q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A183" i="2"/>
  <c r="R182" i="2"/>
  <c r="Q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A182" i="2"/>
  <c r="R181" i="2"/>
  <c r="Q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A181" i="2"/>
  <c r="R180" i="2"/>
  <c r="Q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A180" i="2"/>
  <c r="R179" i="2"/>
  <c r="Q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A179" i="2"/>
  <c r="R178" i="2"/>
  <c r="Q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A178" i="2"/>
  <c r="R177" i="2"/>
  <c r="Q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A177" i="2"/>
  <c r="R176" i="2"/>
  <c r="Q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A176" i="2"/>
  <c r="R175" i="2"/>
  <c r="Q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A175" i="2"/>
  <c r="R174" i="2"/>
  <c r="Q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A174" i="2"/>
  <c r="R173" i="2"/>
  <c r="Q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A173" i="2"/>
  <c r="R172" i="2"/>
  <c r="Q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172" i="2"/>
  <c r="R171" i="2"/>
  <c r="Q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A171" i="2"/>
  <c r="R170" i="2"/>
  <c r="Q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A170" i="2"/>
  <c r="R169" i="2"/>
  <c r="Q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A169" i="2"/>
  <c r="R168" i="2"/>
  <c r="Q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A168" i="2"/>
  <c r="R167" i="2"/>
  <c r="Q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A167" i="2"/>
  <c r="R166" i="2"/>
  <c r="Q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A166" i="2"/>
  <c r="R165" i="2"/>
  <c r="Q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A165" i="2"/>
  <c r="R164" i="2"/>
  <c r="Q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A164" i="2"/>
  <c r="R163" i="2"/>
  <c r="Q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A163" i="2"/>
  <c r="R162" i="2"/>
  <c r="Q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A162" i="2"/>
  <c r="R161" i="2"/>
  <c r="Q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A161" i="2"/>
  <c r="R160" i="2"/>
  <c r="Q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A160" i="2"/>
  <c r="R159" i="2"/>
  <c r="Q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A159" i="2"/>
  <c r="R158" i="2"/>
  <c r="Q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A158" i="2"/>
  <c r="R157" i="2"/>
  <c r="Q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A157" i="2"/>
  <c r="R156" i="2"/>
  <c r="Q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A156" i="2"/>
  <c r="R155" i="2"/>
  <c r="Q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A155" i="2"/>
  <c r="R154" i="2"/>
  <c r="Q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A154" i="2"/>
  <c r="R153" i="2"/>
  <c r="Q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A153" i="2"/>
  <c r="R152" i="2"/>
  <c r="Q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152" i="2"/>
  <c r="R151" i="2"/>
  <c r="Q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A151" i="2"/>
  <c r="R150" i="2"/>
  <c r="Q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A150" i="2"/>
  <c r="R149" i="2"/>
  <c r="Q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A149" i="2"/>
  <c r="R148" i="2"/>
  <c r="Q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A148" i="2"/>
  <c r="R147" i="2"/>
  <c r="Q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A147" i="2"/>
  <c r="R146" i="2"/>
  <c r="Q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A146" i="2"/>
  <c r="R145" i="2"/>
  <c r="Q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A145" i="2"/>
  <c r="R144" i="2"/>
  <c r="Q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A144" i="2"/>
  <c r="R143" i="2"/>
  <c r="Q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A143" i="2"/>
  <c r="R142" i="2"/>
  <c r="Q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A142" i="2"/>
  <c r="R141" i="2"/>
  <c r="Q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A141" i="2"/>
  <c r="R140" i="2"/>
  <c r="Q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A140" i="2"/>
  <c r="R139" i="2"/>
  <c r="Q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A139" i="2"/>
  <c r="R138" i="2"/>
  <c r="Q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A138" i="2"/>
  <c r="R137" i="2"/>
  <c r="Q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A137" i="2"/>
  <c r="R136" i="2"/>
  <c r="Q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A136" i="2"/>
  <c r="R135" i="2"/>
  <c r="Q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135" i="2"/>
  <c r="R134" i="2"/>
  <c r="Q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A134" i="2"/>
  <c r="R133" i="2"/>
  <c r="Q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A133" i="2"/>
  <c r="R132" i="2"/>
  <c r="Q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A132" i="2"/>
  <c r="R131" i="2"/>
  <c r="Q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A131" i="2"/>
  <c r="R130" i="2"/>
  <c r="Q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A130" i="2"/>
  <c r="R129" i="2"/>
  <c r="Q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A129" i="2"/>
  <c r="R128" i="2"/>
  <c r="Q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128" i="2"/>
  <c r="R127" i="2"/>
  <c r="Q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127" i="2"/>
  <c r="R126" i="2"/>
  <c r="Q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126" i="2"/>
  <c r="R125" i="2"/>
  <c r="Q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125" i="2"/>
  <c r="R124" i="2"/>
  <c r="Q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A124" i="2"/>
  <c r="R123" i="2"/>
  <c r="Q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R122" i="2"/>
  <c r="Q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122" i="2"/>
  <c r="R121" i="2"/>
  <c r="Q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A121" i="2"/>
  <c r="R120" i="2"/>
  <c r="Q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120" i="2"/>
  <c r="R119" i="2"/>
  <c r="Q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119" i="2"/>
  <c r="R118" i="2"/>
  <c r="Q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R117" i="2"/>
  <c r="Q117" i="2"/>
  <c r="N117" i="2"/>
  <c r="M117" i="2"/>
  <c r="L117" i="2"/>
  <c r="K117" i="2"/>
  <c r="O117" i="2" s="1"/>
  <c r="J117" i="2"/>
  <c r="I117" i="2"/>
  <c r="H117" i="2"/>
  <c r="G117" i="2"/>
  <c r="F117" i="2"/>
  <c r="E117" i="2"/>
  <c r="D117" i="2"/>
  <c r="C117" i="2"/>
  <c r="B117" i="2"/>
  <c r="A117" i="2"/>
  <c r="R116" i="2"/>
  <c r="Q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116" i="2"/>
  <c r="R115" i="2"/>
  <c r="Q115" i="2"/>
  <c r="N115" i="2"/>
  <c r="M115" i="2"/>
  <c r="L115" i="2"/>
  <c r="K115" i="2"/>
  <c r="O115" i="2" s="1"/>
  <c r="J115" i="2"/>
  <c r="I115" i="2"/>
  <c r="H115" i="2"/>
  <c r="G115" i="2"/>
  <c r="F115" i="2"/>
  <c r="E115" i="2"/>
  <c r="D115" i="2"/>
  <c r="C115" i="2"/>
  <c r="B115" i="2"/>
  <c r="A115" i="2"/>
  <c r="R114" i="2"/>
  <c r="Q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114" i="2"/>
  <c r="R113" i="2"/>
  <c r="Q113" i="2"/>
  <c r="N113" i="2"/>
  <c r="M113" i="2"/>
  <c r="L113" i="2"/>
  <c r="K113" i="2"/>
  <c r="O113" i="2" s="1"/>
  <c r="J113" i="2"/>
  <c r="I113" i="2"/>
  <c r="H113" i="2"/>
  <c r="G113" i="2"/>
  <c r="F113" i="2"/>
  <c r="E113" i="2"/>
  <c r="D113" i="2"/>
  <c r="C113" i="2"/>
  <c r="B113" i="2"/>
  <c r="A113" i="2"/>
  <c r="R112" i="2"/>
  <c r="Q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112" i="2"/>
  <c r="R111" i="2"/>
  <c r="Q111" i="2"/>
  <c r="N111" i="2"/>
  <c r="M111" i="2"/>
  <c r="L111" i="2"/>
  <c r="K111" i="2"/>
  <c r="O111" i="2" s="1"/>
  <c r="J111" i="2"/>
  <c r="I111" i="2"/>
  <c r="H111" i="2"/>
  <c r="G111" i="2"/>
  <c r="F111" i="2"/>
  <c r="E111" i="2"/>
  <c r="D111" i="2"/>
  <c r="C111" i="2"/>
  <c r="B111" i="2"/>
  <c r="A111" i="2"/>
  <c r="R110" i="2"/>
  <c r="Q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A110" i="2"/>
  <c r="R109" i="2"/>
  <c r="Q109" i="2"/>
  <c r="N109" i="2"/>
  <c r="M109" i="2"/>
  <c r="L109" i="2"/>
  <c r="K109" i="2"/>
  <c r="O109" i="2" s="1"/>
  <c r="J109" i="2"/>
  <c r="I109" i="2"/>
  <c r="H109" i="2"/>
  <c r="G109" i="2"/>
  <c r="F109" i="2"/>
  <c r="E109" i="2"/>
  <c r="D109" i="2"/>
  <c r="C109" i="2"/>
  <c r="B109" i="2"/>
  <c r="A109" i="2"/>
  <c r="R108" i="2"/>
  <c r="Q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A108" i="2"/>
  <c r="R107" i="2"/>
  <c r="Q107" i="2"/>
  <c r="N107" i="2"/>
  <c r="M107" i="2"/>
  <c r="L107" i="2"/>
  <c r="K107" i="2"/>
  <c r="O107" i="2" s="1"/>
  <c r="J107" i="2"/>
  <c r="I107" i="2"/>
  <c r="H107" i="2"/>
  <c r="G107" i="2"/>
  <c r="F107" i="2"/>
  <c r="E107" i="2"/>
  <c r="D107" i="2"/>
  <c r="C107" i="2"/>
  <c r="B107" i="2"/>
  <c r="A107" i="2"/>
  <c r="R106" i="2"/>
  <c r="Q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A106" i="2"/>
  <c r="R105" i="2"/>
  <c r="Q105" i="2"/>
  <c r="N105" i="2"/>
  <c r="M105" i="2"/>
  <c r="L105" i="2"/>
  <c r="K105" i="2"/>
  <c r="O105" i="2" s="1"/>
  <c r="J105" i="2"/>
  <c r="I105" i="2"/>
  <c r="H105" i="2"/>
  <c r="G105" i="2"/>
  <c r="F105" i="2"/>
  <c r="E105" i="2"/>
  <c r="D105" i="2"/>
  <c r="C105" i="2"/>
  <c r="B105" i="2"/>
  <c r="A105" i="2"/>
  <c r="R104" i="2"/>
  <c r="Q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104" i="2"/>
  <c r="R103" i="2"/>
  <c r="Q103" i="2"/>
  <c r="N103" i="2"/>
  <c r="M103" i="2"/>
  <c r="L103" i="2"/>
  <c r="K103" i="2"/>
  <c r="O103" i="2" s="1"/>
  <c r="J103" i="2"/>
  <c r="I103" i="2"/>
  <c r="H103" i="2"/>
  <c r="G103" i="2"/>
  <c r="F103" i="2"/>
  <c r="E103" i="2"/>
  <c r="D103" i="2"/>
  <c r="C103" i="2"/>
  <c r="B103" i="2"/>
  <c r="A103" i="2"/>
  <c r="R102" i="2"/>
  <c r="Q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102" i="2"/>
  <c r="R101" i="2"/>
  <c r="Q101" i="2"/>
  <c r="N101" i="2"/>
  <c r="M101" i="2"/>
  <c r="L101" i="2"/>
  <c r="K101" i="2"/>
  <c r="O101" i="2" s="1"/>
  <c r="J101" i="2"/>
  <c r="I101" i="2"/>
  <c r="H101" i="2"/>
  <c r="G101" i="2"/>
  <c r="F101" i="2"/>
  <c r="E101" i="2"/>
  <c r="D101" i="2"/>
  <c r="C101" i="2"/>
  <c r="B101" i="2"/>
  <c r="A101" i="2"/>
  <c r="R100" i="2"/>
  <c r="Q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R99" i="2"/>
  <c r="Q99" i="2"/>
  <c r="N99" i="2"/>
  <c r="M99" i="2"/>
  <c r="L99" i="2"/>
  <c r="K99" i="2"/>
  <c r="O99" i="2" s="1"/>
  <c r="J99" i="2"/>
  <c r="I99" i="2"/>
  <c r="H99" i="2"/>
  <c r="G99" i="2"/>
  <c r="F99" i="2"/>
  <c r="E99" i="2"/>
  <c r="D99" i="2"/>
  <c r="C99" i="2"/>
  <c r="B99" i="2"/>
  <c r="A99" i="2"/>
  <c r="R98" i="2"/>
  <c r="Q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98" i="2"/>
  <c r="R97" i="2"/>
  <c r="Q97" i="2"/>
  <c r="N97" i="2"/>
  <c r="M97" i="2"/>
  <c r="L97" i="2"/>
  <c r="K97" i="2"/>
  <c r="O97" i="2" s="1"/>
  <c r="J97" i="2"/>
  <c r="I97" i="2"/>
  <c r="H97" i="2"/>
  <c r="G97" i="2"/>
  <c r="F97" i="2"/>
  <c r="E97" i="2"/>
  <c r="D97" i="2"/>
  <c r="C97" i="2"/>
  <c r="B97" i="2"/>
  <c r="A97" i="2"/>
  <c r="R96" i="2"/>
  <c r="Q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96" i="2"/>
  <c r="R95" i="2"/>
  <c r="Q95" i="2"/>
  <c r="N95" i="2"/>
  <c r="M95" i="2"/>
  <c r="L95" i="2"/>
  <c r="K95" i="2"/>
  <c r="O95" i="2" s="1"/>
  <c r="J95" i="2"/>
  <c r="I95" i="2"/>
  <c r="H95" i="2"/>
  <c r="G95" i="2"/>
  <c r="F95" i="2"/>
  <c r="E95" i="2"/>
  <c r="D95" i="2"/>
  <c r="C95" i="2"/>
  <c r="B95" i="2"/>
  <c r="A95" i="2"/>
  <c r="R94" i="2"/>
  <c r="Q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R93" i="2"/>
  <c r="Q93" i="2"/>
  <c r="N93" i="2"/>
  <c r="M93" i="2"/>
  <c r="L93" i="2"/>
  <c r="K93" i="2"/>
  <c r="O93" i="2" s="1"/>
  <c r="J93" i="2"/>
  <c r="I93" i="2"/>
  <c r="H93" i="2"/>
  <c r="G93" i="2"/>
  <c r="F93" i="2"/>
  <c r="E93" i="2"/>
  <c r="D93" i="2"/>
  <c r="C93" i="2"/>
  <c r="B93" i="2"/>
  <c r="A93" i="2"/>
  <c r="R92" i="2"/>
  <c r="Q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R91" i="2"/>
  <c r="Q91" i="2"/>
  <c r="N91" i="2"/>
  <c r="M91" i="2"/>
  <c r="L91" i="2"/>
  <c r="K91" i="2"/>
  <c r="O91" i="2" s="1"/>
  <c r="J91" i="2"/>
  <c r="I91" i="2"/>
  <c r="H91" i="2"/>
  <c r="G91" i="2"/>
  <c r="F91" i="2"/>
  <c r="E91" i="2"/>
  <c r="D91" i="2"/>
  <c r="C91" i="2"/>
  <c r="B91" i="2"/>
  <c r="A91" i="2"/>
  <c r="R90" i="2"/>
  <c r="Q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R89" i="2"/>
  <c r="Q89" i="2"/>
  <c r="N89" i="2"/>
  <c r="M89" i="2"/>
  <c r="L89" i="2"/>
  <c r="K89" i="2"/>
  <c r="O89" i="2" s="1"/>
  <c r="J89" i="2"/>
  <c r="I89" i="2"/>
  <c r="H89" i="2"/>
  <c r="G89" i="2"/>
  <c r="F89" i="2"/>
  <c r="E89" i="2"/>
  <c r="D89" i="2"/>
  <c r="C89" i="2"/>
  <c r="B89" i="2"/>
  <c r="A89" i="2"/>
  <c r="R88" i="2"/>
  <c r="Q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R87" i="2"/>
  <c r="Q87" i="2"/>
  <c r="N87" i="2"/>
  <c r="M87" i="2"/>
  <c r="L87" i="2"/>
  <c r="K87" i="2"/>
  <c r="O87" i="2" s="1"/>
  <c r="J87" i="2"/>
  <c r="I87" i="2"/>
  <c r="H87" i="2"/>
  <c r="G87" i="2"/>
  <c r="F87" i="2"/>
  <c r="E87" i="2"/>
  <c r="D87" i="2"/>
  <c r="C87" i="2"/>
  <c r="B87" i="2"/>
  <c r="A87" i="2"/>
  <c r="R86" i="2"/>
  <c r="Q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R85" i="2"/>
  <c r="Q85" i="2"/>
  <c r="N85" i="2"/>
  <c r="M85" i="2"/>
  <c r="L85" i="2"/>
  <c r="K85" i="2"/>
  <c r="O85" i="2" s="1"/>
  <c r="J85" i="2"/>
  <c r="I85" i="2"/>
  <c r="H85" i="2"/>
  <c r="G85" i="2"/>
  <c r="F85" i="2"/>
  <c r="E85" i="2"/>
  <c r="D85" i="2"/>
  <c r="C85" i="2"/>
  <c r="B85" i="2"/>
  <c r="A85" i="2"/>
  <c r="R84" i="2"/>
  <c r="Q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R83" i="2"/>
  <c r="Q83" i="2"/>
  <c r="N83" i="2"/>
  <c r="M83" i="2"/>
  <c r="L83" i="2"/>
  <c r="K83" i="2"/>
  <c r="O83" i="2" s="1"/>
  <c r="J83" i="2"/>
  <c r="I83" i="2"/>
  <c r="H83" i="2"/>
  <c r="G83" i="2"/>
  <c r="F83" i="2"/>
  <c r="E83" i="2"/>
  <c r="D83" i="2"/>
  <c r="C83" i="2"/>
  <c r="B83" i="2"/>
  <c r="A83" i="2"/>
  <c r="R82" i="2"/>
  <c r="Q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R81" i="2"/>
  <c r="Q81" i="2"/>
  <c r="N81" i="2"/>
  <c r="M81" i="2"/>
  <c r="L81" i="2"/>
  <c r="K81" i="2"/>
  <c r="O81" i="2" s="1"/>
  <c r="J81" i="2"/>
  <c r="I81" i="2"/>
  <c r="H81" i="2"/>
  <c r="G81" i="2"/>
  <c r="F81" i="2"/>
  <c r="E81" i="2"/>
  <c r="D81" i="2"/>
  <c r="C81" i="2"/>
  <c r="B81" i="2"/>
  <c r="A81" i="2"/>
  <c r="R80" i="2"/>
  <c r="Q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80" i="2"/>
  <c r="R79" i="2"/>
  <c r="Q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R78" i="2"/>
  <c r="Q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R77" i="2"/>
  <c r="Q77" i="2"/>
  <c r="N77" i="2"/>
  <c r="M77" i="2"/>
  <c r="L77" i="2"/>
  <c r="K77" i="2"/>
  <c r="O77" i="2" s="1"/>
  <c r="J77" i="2"/>
  <c r="I77" i="2"/>
  <c r="H77" i="2"/>
  <c r="G77" i="2"/>
  <c r="F77" i="2"/>
  <c r="E77" i="2"/>
  <c r="D77" i="2"/>
  <c r="C77" i="2"/>
  <c r="B77" i="2"/>
  <c r="A77" i="2"/>
  <c r="R76" i="2"/>
  <c r="Q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R75" i="2"/>
  <c r="Q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R74" i="2"/>
  <c r="Q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R73" i="2"/>
  <c r="Q73" i="2"/>
  <c r="N73" i="2"/>
  <c r="M73" i="2"/>
  <c r="L73" i="2"/>
  <c r="K73" i="2"/>
  <c r="O73" i="2" s="1"/>
  <c r="J73" i="2"/>
  <c r="I73" i="2"/>
  <c r="H73" i="2"/>
  <c r="G73" i="2"/>
  <c r="F73" i="2"/>
  <c r="E73" i="2"/>
  <c r="D73" i="2"/>
  <c r="C73" i="2"/>
  <c r="B73" i="2"/>
  <c r="A73" i="2"/>
  <c r="R72" i="2"/>
  <c r="Q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72" i="2"/>
  <c r="R71" i="2"/>
  <c r="Q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71" i="2"/>
  <c r="R70" i="2"/>
  <c r="Q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R69" i="2"/>
  <c r="Q69" i="2"/>
  <c r="N69" i="2"/>
  <c r="M69" i="2"/>
  <c r="L69" i="2"/>
  <c r="K69" i="2"/>
  <c r="O69" i="2" s="1"/>
  <c r="J69" i="2"/>
  <c r="I69" i="2"/>
  <c r="H69" i="2"/>
  <c r="G69" i="2"/>
  <c r="F69" i="2"/>
  <c r="E69" i="2"/>
  <c r="D69" i="2"/>
  <c r="C69" i="2"/>
  <c r="B69" i="2"/>
  <c r="A69" i="2"/>
  <c r="R68" i="2"/>
  <c r="Q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R67" i="2"/>
  <c r="Q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R66" i="2"/>
  <c r="Q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R65" i="2"/>
  <c r="Q65" i="2"/>
  <c r="N65" i="2"/>
  <c r="M65" i="2"/>
  <c r="L65" i="2"/>
  <c r="K65" i="2"/>
  <c r="O65" i="2" s="1"/>
  <c r="J65" i="2"/>
  <c r="I65" i="2"/>
  <c r="H65" i="2"/>
  <c r="G65" i="2"/>
  <c r="F65" i="2"/>
  <c r="E65" i="2"/>
  <c r="D65" i="2"/>
  <c r="C65" i="2"/>
  <c r="B65" i="2"/>
  <c r="A65" i="2"/>
  <c r="R64" i="2"/>
  <c r="Q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64" i="2"/>
  <c r="R63" i="2"/>
  <c r="Q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A63" i="2"/>
  <c r="R62" i="2"/>
  <c r="Q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R61" i="2"/>
  <c r="Q61" i="2"/>
  <c r="N61" i="2"/>
  <c r="M61" i="2"/>
  <c r="L61" i="2"/>
  <c r="K61" i="2"/>
  <c r="O61" i="2" s="1"/>
  <c r="J61" i="2"/>
  <c r="I61" i="2"/>
  <c r="H61" i="2"/>
  <c r="G61" i="2"/>
  <c r="F61" i="2"/>
  <c r="E61" i="2"/>
  <c r="D61" i="2"/>
  <c r="C61" i="2"/>
  <c r="B61" i="2"/>
  <c r="A61" i="2"/>
  <c r="R60" i="2"/>
  <c r="Q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R59" i="2"/>
  <c r="Q59" i="2"/>
  <c r="N59" i="2"/>
  <c r="M59" i="2"/>
  <c r="L59" i="2"/>
  <c r="K59" i="2"/>
  <c r="O59" i="2" s="1"/>
  <c r="J59" i="2"/>
  <c r="I59" i="2"/>
  <c r="H59" i="2"/>
  <c r="G59" i="2"/>
  <c r="F59" i="2"/>
  <c r="E59" i="2"/>
  <c r="D59" i="2"/>
  <c r="C59" i="2"/>
  <c r="B59" i="2"/>
  <c r="A59" i="2"/>
  <c r="R58" i="2"/>
  <c r="Q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R57" i="2"/>
  <c r="Q57" i="2"/>
  <c r="N57" i="2"/>
  <c r="M57" i="2"/>
  <c r="L57" i="2"/>
  <c r="K57" i="2"/>
  <c r="O57" i="2" s="1"/>
  <c r="J57" i="2"/>
  <c r="I57" i="2"/>
  <c r="H57" i="2"/>
  <c r="G57" i="2"/>
  <c r="F57" i="2"/>
  <c r="E57" i="2"/>
  <c r="D57" i="2"/>
  <c r="C57" i="2"/>
  <c r="B57" i="2"/>
  <c r="A57" i="2"/>
  <c r="R56" i="2"/>
  <c r="Q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R55" i="2"/>
  <c r="Q55" i="2"/>
  <c r="N55" i="2"/>
  <c r="M55" i="2"/>
  <c r="L55" i="2"/>
  <c r="K55" i="2"/>
  <c r="O55" i="2" s="1"/>
  <c r="J55" i="2"/>
  <c r="I55" i="2"/>
  <c r="H55" i="2"/>
  <c r="G55" i="2"/>
  <c r="F55" i="2"/>
  <c r="E55" i="2"/>
  <c r="D55" i="2"/>
  <c r="C55" i="2"/>
  <c r="B55" i="2"/>
  <c r="A55" i="2"/>
  <c r="R54" i="2"/>
  <c r="Q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R53" i="2"/>
  <c r="Q53" i="2"/>
  <c r="N53" i="2"/>
  <c r="M53" i="2"/>
  <c r="L53" i="2"/>
  <c r="K53" i="2"/>
  <c r="O53" i="2" s="1"/>
  <c r="J53" i="2"/>
  <c r="I53" i="2"/>
  <c r="H53" i="2"/>
  <c r="G53" i="2"/>
  <c r="F53" i="2"/>
  <c r="E53" i="2"/>
  <c r="D53" i="2"/>
  <c r="C53" i="2"/>
  <c r="B53" i="2"/>
  <c r="A53" i="2"/>
  <c r="R52" i="2"/>
  <c r="Q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R51" i="2"/>
  <c r="Q51" i="2"/>
  <c r="N51" i="2"/>
  <c r="M51" i="2"/>
  <c r="L51" i="2"/>
  <c r="K51" i="2"/>
  <c r="O51" i="2" s="1"/>
  <c r="J51" i="2"/>
  <c r="I51" i="2"/>
  <c r="H51" i="2"/>
  <c r="G51" i="2"/>
  <c r="F51" i="2"/>
  <c r="E51" i="2"/>
  <c r="D51" i="2"/>
  <c r="C51" i="2"/>
  <c r="B51" i="2"/>
  <c r="A51" i="2"/>
  <c r="R50" i="2"/>
  <c r="Q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R49" i="2"/>
  <c r="Q49" i="2"/>
  <c r="N49" i="2"/>
  <c r="M49" i="2"/>
  <c r="L49" i="2"/>
  <c r="K49" i="2"/>
  <c r="O49" i="2" s="1"/>
  <c r="J49" i="2"/>
  <c r="I49" i="2"/>
  <c r="H49" i="2"/>
  <c r="G49" i="2"/>
  <c r="F49" i="2"/>
  <c r="E49" i="2"/>
  <c r="D49" i="2"/>
  <c r="C49" i="2"/>
  <c r="B49" i="2"/>
  <c r="A49" i="2"/>
  <c r="R48" i="2"/>
  <c r="Q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R47" i="2"/>
  <c r="Q47" i="2"/>
  <c r="N47" i="2"/>
  <c r="M47" i="2"/>
  <c r="L47" i="2"/>
  <c r="K47" i="2"/>
  <c r="O47" i="2" s="1"/>
  <c r="J47" i="2"/>
  <c r="I47" i="2"/>
  <c r="H47" i="2"/>
  <c r="G47" i="2"/>
  <c r="F47" i="2"/>
  <c r="E47" i="2"/>
  <c r="D47" i="2"/>
  <c r="C47" i="2"/>
  <c r="B47" i="2"/>
  <c r="A47" i="2"/>
  <c r="R46" i="2"/>
  <c r="Q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R45" i="2"/>
  <c r="Q45" i="2"/>
  <c r="N45" i="2"/>
  <c r="M45" i="2"/>
  <c r="L45" i="2"/>
  <c r="K45" i="2"/>
  <c r="O45" i="2" s="1"/>
  <c r="J45" i="2"/>
  <c r="I45" i="2"/>
  <c r="H45" i="2"/>
  <c r="G45" i="2"/>
  <c r="F45" i="2"/>
  <c r="E45" i="2"/>
  <c r="D45" i="2"/>
  <c r="C45" i="2"/>
  <c r="B45" i="2"/>
  <c r="A45" i="2"/>
  <c r="R44" i="2"/>
  <c r="Q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R43" i="2"/>
  <c r="Q43" i="2"/>
  <c r="N43" i="2"/>
  <c r="M43" i="2"/>
  <c r="L43" i="2"/>
  <c r="K43" i="2"/>
  <c r="O43" i="2" s="1"/>
  <c r="J43" i="2"/>
  <c r="I43" i="2"/>
  <c r="H43" i="2"/>
  <c r="G43" i="2"/>
  <c r="F43" i="2"/>
  <c r="E43" i="2"/>
  <c r="D43" i="2"/>
  <c r="C43" i="2"/>
  <c r="B43" i="2"/>
  <c r="A43" i="2"/>
  <c r="R42" i="2"/>
  <c r="Q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R41" i="2"/>
  <c r="Q41" i="2"/>
  <c r="N41" i="2"/>
  <c r="M41" i="2"/>
  <c r="L41" i="2"/>
  <c r="K41" i="2"/>
  <c r="O41" i="2" s="1"/>
  <c r="J41" i="2"/>
  <c r="I41" i="2"/>
  <c r="H41" i="2"/>
  <c r="G41" i="2"/>
  <c r="F41" i="2"/>
  <c r="E41" i="2"/>
  <c r="D41" i="2"/>
  <c r="C41" i="2"/>
  <c r="B41" i="2"/>
  <c r="A41" i="2"/>
  <c r="R40" i="2"/>
  <c r="Q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R39" i="2"/>
  <c r="Q39" i="2"/>
  <c r="N39" i="2"/>
  <c r="M39" i="2"/>
  <c r="L39" i="2"/>
  <c r="K39" i="2"/>
  <c r="O39" i="2" s="1"/>
  <c r="J39" i="2"/>
  <c r="I39" i="2"/>
  <c r="H39" i="2"/>
  <c r="G39" i="2"/>
  <c r="F39" i="2"/>
  <c r="E39" i="2"/>
  <c r="D39" i="2"/>
  <c r="C39" i="2"/>
  <c r="B39" i="2"/>
  <c r="A39" i="2"/>
  <c r="R38" i="2"/>
  <c r="Q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R37" i="2"/>
  <c r="Q37" i="2"/>
  <c r="N37" i="2"/>
  <c r="M37" i="2"/>
  <c r="L37" i="2"/>
  <c r="K37" i="2"/>
  <c r="O37" i="2" s="1"/>
  <c r="J37" i="2"/>
  <c r="I37" i="2"/>
  <c r="H37" i="2"/>
  <c r="G37" i="2"/>
  <c r="F37" i="2"/>
  <c r="E37" i="2"/>
  <c r="D37" i="2"/>
  <c r="C37" i="2"/>
  <c r="B37" i="2"/>
  <c r="A37" i="2"/>
  <c r="R36" i="2"/>
  <c r="Q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R35" i="2"/>
  <c r="Q35" i="2"/>
  <c r="N35" i="2"/>
  <c r="M35" i="2"/>
  <c r="L35" i="2"/>
  <c r="K35" i="2"/>
  <c r="O35" i="2" s="1"/>
  <c r="J35" i="2"/>
  <c r="I35" i="2"/>
  <c r="H35" i="2"/>
  <c r="G35" i="2"/>
  <c r="F35" i="2"/>
  <c r="E35" i="2"/>
  <c r="D35" i="2"/>
  <c r="C35" i="2"/>
  <c r="B35" i="2"/>
  <c r="A35" i="2"/>
  <c r="R34" i="2"/>
  <c r="Q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R33" i="2"/>
  <c r="Q33" i="2"/>
  <c r="N33" i="2"/>
  <c r="M33" i="2"/>
  <c r="L33" i="2"/>
  <c r="K33" i="2"/>
  <c r="O33" i="2" s="1"/>
  <c r="J33" i="2"/>
  <c r="I33" i="2"/>
  <c r="H33" i="2"/>
  <c r="G33" i="2"/>
  <c r="F33" i="2"/>
  <c r="E33" i="2"/>
  <c r="D33" i="2"/>
  <c r="C33" i="2"/>
  <c r="B33" i="2"/>
  <c r="A33" i="2"/>
  <c r="R32" i="2"/>
  <c r="Q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R31" i="2"/>
  <c r="Q31" i="2"/>
  <c r="N31" i="2"/>
  <c r="M31" i="2"/>
  <c r="L31" i="2"/>
  <c r="K31" i="2"/>
  <c r="O31" i="2" s="1"/>
  <c r="J31" i="2"/>
  <c r="I31" i="2"/>
  <c r="H31" i="2"/>
  <c r="G31" i="2"/>
  <c r="F31" i="2"/>
  <c r="E31" i="2"/>
  <c r="D31" i="2"/>
  <c r="C31" i="2"/>
  <c r="B31" i="2"/>
  <c r="A31" i="2"/>
  <c r="R30" i="2"/>
  <c r="Q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R29" i="2"/>
  <c r="Q29" i="2"/>
  <c r="N29" i="2"/>
  <c r="M29" i="2"/>
  <c r="L29" i="2"/>
  <c r="K29" i="2"/>
  <c r="O29" i="2" s="1"/>
  <c r="J29" i="2"/>
  <c r="I29" i="2"/>
  <c r="H29" i="2"/>
  <c r="G29" i="2"/>
  <c r="F29" i="2"/>
  <c r="E29" i="2"/>
  <c r="D29" i="2"/>
  <c r="C29" i="2"/>
  <c r="B29" i="2"/>
  <c r="A29" i="2"/>
  <c r="R28" i="2"/>
  <c r="Q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R27" i="2"/>
  <c r="Q27" i="2"/>
  <c r="N27" i="2"/>
  <c r="M27" i="2"/>
  <c r="L27" i="2"/>
  <c r="K27" i="2"/>
  <c r="O27" i="2" s="1"/>
  <c r="J27" i="2"/>
  <c r="I27" i="2"/>
  <c r="H27" i="2"/>
  <c r="G27" i="2"/>
  <c r="F27" i="2"/>
  <c r="E27" i="2"/>
  <c r="D27" i="2"/>
  <c r="C27" i="2"/>
  <c r="B27" i="2"/>
  <c r="A27" i="2"/>
  <c r="R26" i="2"/>
  <c r="Q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R25" i="2"/>
  <c r="Q25" i="2"/>
  <c r="N25" i="2"/>
  <c r="M25" i="2"/>
  <c r="L25" i="2"/>
  <c r="K25" i="2"/>
  <c r="O25" i="2" s="1"/>
  <c r="J25" i="2"/>
  <c r="I25" i="2"/>
  <c r="H25" i="2"/>
  <c r="G25" i="2"/>
  <c r="F25" i="2"/>
  <c r="E25" i="2"/>
  <c r="D25" i="2"/>
  <c r="C25" i="2"/>
  <c r="B25" i="2"/>
  <c r="A25" i="2"/>
  <c r="R24" i="2"/>
  <c r="Q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R23" i="2"/>
  <c r="Q23" i="2"/>
  <c r="N23" i="2"/>
  <c r="M23" i="2"/>
  <c r="L23" i="2"/>
  <c r="K23" i="2"/>
  <c r="O23" i="2" s="1"/>
  <c r="J23" i="2"/>
  <c r="I23" i="2"/>
  <c r="H23" i="2"/>
  <c r="G23" i="2"/>
  <c r="F23" i="2"/>
  <c r="E23" i="2"/>
  <c r="D23" i="2"/>
  <c r="C23" i="2"/>
  <c r="B23" i="2"/>
  <c r="A23" i="2"/>
  <c r="R22" i="2"/>
  <c r="Q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R21" i="2"/>
  <c r="Q21" i="2"/>
  <c r="N21" i="2"/>
  <c r="M21" i="2"/>
  <c r="L21" i="2"/>
  <c r="K21" i="2"/>
  <c r="O21" i="2" s="1"/>
  <c r="J21" i="2"/>
  <c r="I21" i="2"/>
  <c r="H21" i="2"/>
  <c r="G21" i="2"/>
  <c r="F21" i="2"/>
  <c r="E21" i="2"/>
  <c r="D21" i="2"/>
  <c r="C21" i="2"/>
  <c r="B21" i="2"/>
  <c r="A21" i="2"/>
  <c r="R20" i="2"/>
  <c r="Q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R19" i="2"/>
  <c r="Q19" i="2"/>
  <c r="N19" i="2"/>
  <c r="M19" i="2"/>
  <c r="L19" i="2"/>
  <c r="K19" i="2"/>
  <c r="O19" i="2" s="1"/>
  <c r="J19" i="2"/>
  <c r="I19" i="2"/>
  <c r="H19" i="2"/>
  <c r="G19" i="2"/>
  <c r="F19" i="2"/>
  <c r="E19" i="2"/>
  <c r="D19" i="2"/>
  <c r="C19" i="2"/>
  <c r="B19" i="2"/>
  <c r="A19" i="2"/>
  <c r="R18" i="2"/>
  <c r="Q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R17" i="2"/>
  <c r="Q17" i="2"/>
  <c r="N17" i="2"/>
  <c r="M17" i="2"/>
  <c r="L17" i="2"/>
  <c r="K17" i="2"/>
  <c r="O17" i="2" s="1"/>
  <c r="J17" i="2"/>
  <c r="I17" i="2"/>
  <c r="H17" i="2"/>
  <c r="G17" i="2"/>
  <c r="F17" i="2"/>
  <c r="E17" i="2"/>
  <c r="D17" i="2"/>
  <c r="C17" i="2"/>
  <c r="B17" i="2"/>
  <c r="A17" i="2"/>
  <c r="R16" i="2"/>
  <c r="Q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R15" i="2"/>
  <c r="Q15" i="2"/>
  <c r="N15" i="2"/>
  <c r="M15" i="2"/>
  <c r="L15" i="2"/>
  <c r="K15" i="2"/>
  <c r="O15" i="2" s="1"/>
  <c r="J15" i="2"/>
  <c r="I15" i="2"/>
  <c r="H15" i="2"/>
  <c r="G15" i="2"/>
  <c r="F15" i="2"/>
  <c r="E15" i="2"/>
  <c r="D15" i="2"/>
  <c r="C15" i="2"/>
  <c r="B15" i="2"/>
  <c r="A15" i="2"/>
  <c r="R14" i="2"/>
  <c r="Q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R13" i="2"/>
  <c r="Q13" i="2"/>
  <c r="N13" i="2"/>
  <c r="M13" i="2"/>
  <c r="L13" i="2"/>
  <c r="K13" i="2"/>
  <c r="O13" i="2" s="1"/>
  <c r="J13" i="2"/>
  <c r="I13" i="2"/>
  <c r="H13" i="2"/>
  <c r="G13" i="2"/>
  <c r="F13" i="2"/>
  <c r="E13" i="2"/>
  <c r="D13" i="2"/>
  <c r="C13" i="2"/>
  <c r="B13" i="2"/>
  <c r="A13" i="2"/>
  <c r="R12" i="2"/>
  <c r="Q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R11" i="2"/>
  <c r="Q11" i="2"/>
  <c r="N11" i="2"/>
  <c r="M11" i="2"/>
  <c r="L11" i="2"/>
  <c r="K11" i="2"/>
  <c r="O11" i="2" s="1"/>
  <c r="J11" i="2"/>
  <c r="I11" i="2"/>
  <c r="H11" i="2"/>
  <c r="G11" i="2"/>
  <c r="F11" i="2"/>
  <c r="E11" i="2"/>
  <c r="D11" i="2"/>
  <c r="C11" i="2"/>
  <c r="B11" i="2"/>
  <c r="A11" i="2"/>
  <c r="R10" i="2"/>
  <c r="Q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R9" i="2"/>
  <c r="Q9" i="2"/>
  <c r="N9" i="2"/>
  <c r="M9" i="2"/>
  <c r="L9" i="2"/>
  <c r="K9" i="2"/>
  <c r="O9" i="2" s="1"/>
  <c r="J9" i="2"/>
  <c r="I9" i="2"/>
  <c r="H9" i="2"/>
  <c r="G9" i="2"/>
  <c r="F9" i="2"/>
  <c r="E9" i="2"/>
  <c r="D9" i="2"/>
  <c r="C9" i="2"/>
  <c r="B9" i="2"/>
  <c r="A9" i="2"/>
  <c r="R8" i="2"/>
  <c r="Q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R7" i="2"/>
  <c r="Q7" i="2"/>
  <c r="N7" i="2"/>
  <c r="M7" i="2"/>
  <c r="L7" i="2"/>
  <c r="K7" i="2"/>
  <c r="O7" i="2" s="1"/>
  <c r="J7" i="2"/>
  <c r="I7" i="2"/>
  <c r="H7" i="2"/>
  <c r="G7" i="2"/>
  <c r="F7" i="2"/>
  <c r="E7" i="2"/>
  <c r="D7" i="2"/>
  <c r="C7" i="2"/>
  <c r="B7" i="2"/>
  <c r="A7" i="2"/>
  <c r="R6" i="2"/>
  <c r="Q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R5" i="2"/>
  <c r="Q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R4" i="2"/>
  <c r="Q4" i="2"/>
  <c r="N4" i="2"/>
  <c r="M4" i="2"/>
  <c r="L4" i="2"/>
  <c r="K4" i="2"/>
  <c r="O4" i="2" s="1"/>
  <c r="J4" i="2"/>
  <c r="I4" i="2"/>
  <c r="H4" i="2"/>
  <c r="G4" i="2"/>
  <c r="F4" i="2"/>
  <c r="E4" i="2"/>
  <c r="D4" i="2"/>
  <c r="C4" i="2"/>
  <c r="B4" i="2"/>
  <c r="A4" i="2"/>
  <c r="R3" i="2"/>
  <c r="Q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  <c r="R2" i="2"/>
  <c r="Q2" i="2"/>
  <c r="N2" i="2"/>
  <c r="M2" i="2"/>
  <c r="L2" i="2"/>
  <c r="K2" i="2"/>
  <c r="J2" i="2"/>
  <c r="I2" i="2"/>
  <c r="F4" i="3" s="1"/>
  <c r="H2" i="2"/>
  <c r="G2" i="2"/>
  <c r="F2" i="2"/>
  <c r="E2" i="2"/>
  <c r="D2" i="2"/>
  <c r="C2" i="2"/>
  <c r="B2" i="2"/>
  <c r="A2" i="2"/>
  <c r="D4" i="3" s="1"/>
  <c r="O5" i="2" l="1"/>
  <c r="O6" i="2"/>
  <c r="O8" i="2"/>
  <c r="O3" i="2"/>
  <c r="P4" i="2"/>
  <c r="P5" i="2"/>
  <c r="P7" i="2"/>
  <c r="P9" i="2"/>
  <c r="P11" i="2"/>
  <c r="P13" i="2"/>
  <c r="P15" i="2"/>
  <c r="P17" i="2"/>
  <c r="P19" i="2"/>
  <c r="P21" i="2"/>
  <c r="P23" i="2"/>
  <c r="P25" i="2"/>
  <c r="P27" i="2"/>
  <c r="P29" i="2"/>
  <c r="P31" i="2"/>
  <c r="P33" i="2"/>
  <c r="P35" i="2"/>
  <c r="P37" i="2"/>
  <c r="P39" i="2"/>
  <c r="P41" i="2"/>
  <c r="P43" i="2"/>
  <c r="P45" i="2"/>
  <c r="P47" i="2"/>
  <c r="P49" i="2"/>
  <c r="P51" i="2"/>
  <c r="P53" i="2"/>
  <c r="P55" i="2"/>
  <c r="P57" i="2"/>
  <c r="P59" i="2"/>
  <c r="P61" i="2"/>
  <c r="O63" i="2"/>
  <c r="P65" i="2"/>
  <c r="P66" i="2"/>
  <c r="O67" i="2"/>
  <c r="P69" i="2"/>
  <c r="P70" i="2"/>
  <c r="O71" i="2"/>
  <c r="P73" i="2"/>
  <c r="P74" i="2"/>
  <c r="O75" i="2"/>
  <c r="P77" i="2"/>
  <c r="P78" i="2"/>
  <c r="O79" i="2"/>
  <c r="P83" i="2"/>
  <c r="P84" i="2"/>
  <c r="P85" i="2"/>
  <c r="P86" i="2"/>
  <c r="P91" i="2"/>
  <c r="P92" i="2"/>
  <c r="P93" i="2"/>
  <c r="P94" i="2"/>
  <c r="P99" i="2"/>
  <c r="P100" i="2"/>
  <c r="P101" i="2"/>
  <c r="P102" i="2"/>
  <c r="P104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O119" i="2"/>
  <c r="P120" i="2"/>
  <c r="O121" i="2"/>
  <c r="P122" i="2"/>
  <c r="O123" i="2"/>
  <c r="P124" i="2"/>
  <c r="O125" i="2"/>
  <c r="P126" i="2"/>
  <c r="O127" i="2"/>
  <c r="P128" i="2"/>
  <c r="O129" i="2"/>
  <c r="P130" i="2"/>
  <c r="O131" i="2"/>
  <c r="P132" i="2"/>
  <c r="O133" i="2"/>
  <c r="P134" i="2"/>
  <c r="O135" i="2"/>
  <c r="P136" i="2"/>
  <c r="O137" i="2"/>
  <c r="P138" i="2"/>
  <c r="O139" i="2"/>
  <c r="P140" i="2"/>
  <c r="O141" i="2"/>
  <c r="P142" i="2"/>
  <c r="O143" i="2"/>
  <c r="P144" i="2"/>
  <c r="O145" i="2"/>
  <c r="P146" i="2"/>
  <c r="O147" i="2"/>
  <c r="P148" i="2"/>
  <c r="O149" i="2"/>
  <c r="P150" i="2"/>
  <c r="O151" i="2"/>
  <c r="P152" i="2"/>
  <c r="O153" i="2"/>
  <c r="P154" i="2"/>
  <c r="O155" i="2"/>
  <c r="P156" i="2"/>
  <c r="O157" i="2"/>
  <c r="P158" i="2"/>
  <c r="O159" i="2"/>
  <c r="P160" i="2"/>
  <c r="O161" i="2"/>
  <c r="P162" i="2"/>
  <c r="O293" i="2"/>
  <c r="P293" i="2"/>
  <c r="O10" i="2"/>
  <c r="O12" i="2"/>
  <c r="O14" i="2"/>
  <c r="O16" i="2"/>
  <c r="O18" i="2"/>
  <c r="O20" i="2"/>
  <c r="O22" i="2"/>
  <c r="O24" i="2"/>
  <c r="O26" i="2"/>
  <c r="O28" i="2"/>
  <c r="O30" i="2"/>
  <c r="O32" i="2"/>
  <c r="O34" i="2"/>
  <c r="O36" i="2"/>
  <c r="O38" i="2"/>
  <c r="O40" i="2"/>
  <c r="O42" i="2"/>
  <c r="O44" i="2"/>
  <c r="O46" i="2"/>
  <c r="O48" i="2"/>
  <c r="O50" i="2"/>
  <c r="O52" i="2"/>
  <c r="O54" i="2"/>
  <c r="O56" i="2"/>
  <c r="O58" i="2"/>
  <c r="O60" i="2"/>
  <c r="O62" i="2"/>
  <c r="O64" i="2"/>
  <c r="O66" i="2"/>
  <c r="O68" i="2"/>
  <c r="O70" i="2"/>
  <c r="O72" i="2"/>
  <c r="O74" i="2"/>
  <c r="O76" i="2"/>
  <c r="O78" i="2"/>
  <c r="O80" i="2"/>
  <c r="O82" i="2"/>
  <c r="O84" i="2"/>
  <c r="O86" i="2"/>
  <c r="O88" i="2"/>
  <c r="O90" i="2"/>
  <c r="O92" i="2"/>
  <c r="O94" i="2"/>
  <c r="O96" i="2"/>
  <c r="O98" i="2"/>
  <c r="O100" i="2"/>
  <c r="O102" i="2"/>
  <c r="O104" i="2"/>
  <c r="O106" i="2"/>
  <c r="O108" i="2"/>
  <c r="O110" i="2"/>
  <c r="O112" i="2"/>
  <c r="O114" i="2"/>
  <c r="O116" i="2"/>
  <c r="O118" i="2"/>
  <c r="O120" i="2"/>
  <c r="O122" i="2"/>
  <c r="O124" i="2"/>
  <c r="O126" i="2"/>
  <c r="O128" i="2"/>
  <c r="O130" i="2"/>
  <c r="O132" i="2"/>
  <c r="O134" i="2"/>
  <c r="O136" i="2"/>
  <c r="O138" i="2"/>
  <c r="O140" i="2"/>
  <c r="O142" i="2"/>
  <c r="O144" i="2"/>
  <c r="O146" i="2"/>
  <c r="O148" i="2"/>
  <c r="O150" i="2"/>
  <c r="O152" i="2"/>
  <c r="O154" i="2"/>
  <c r="O156" i="2"/>
  <c r="O158" i="2"/>
  <c r="O160" i="2"/>
  <c r="O162" i="2"/>
  <c r="O164" i="2"/>
  <c r="O166" i="2"/>
  <c r="O168" i="2"/>
  <c r="O170" i="2"/>
  <c r="O172" i="2"/>
  <c r="O174" i="2"/>
  <c r="O176" i="2"/>
  <c r="O178" i="2"/>
  <c r="O202" i="2"/>
  <c r="O204" i="2"/>
  <c r="O205" i="2"/>
  <c r="O210" i="2"/>
  <c r="O212" i="2"/>
  <c r="O213" i="2"/>
  <c r="O218" i="2"/>
  <c r="O220" i="2"/>
  <c r="O221" i="2"/>
  <c r="O226" i="2"/>
  <c r="O228" i="2"/>
  <c r="O229" i="2"/>
  <c r="O234" i="2"/>
  <c r="O236" i="2"/>
  <c r="O237" i="2"/>
  <c r="O242" i="2"/>
  <c r="O244" i="2"/>
  <c r="O245" i="2"/>
  <c r="O250" i="2"/>
  <c r="O252" i="2"/>
  <c r="O253" i="2"/>
  <c r="O258" i="2"/>
  <c r="O261" i="2"/>
  <c r="O264" i="2"/>
  <c r="O266" i="2"/>
  <c r="O269" i="2"/>
  <c r="O299" i="2"/>
  <c r="O301" i="2"/>
  <c r="O303" i="2"/>
  <c r="O308" i="2"/>
  <c r="O309" i="2"/>
  <c r="O311" i="2"/>
  <c r="O316" i="2"/>
  <c r="O317" i="2"/>
  <c r="O319" i="2"/>
  <c r="O324" i="2"/>
  <c r="O325" i="2"/>
  <c r="O327" i="2"/>
  <c r="O332" i="2"/>
  <c r="O333" i="2"/>
  <c r="O335" i="2"/>
  <c r="O340" i="2"/>
  <c r="O341" i="2"/>
  <c r="O343" i="2"/>
  <c r="O345" i="2"/>
  <c r="O349" i="2"/>
  <c r="O350" i="2"/>
  <c r="O351" i="2"/>
  <c r="O353" i="2"/>
  <c r="O357" i="2"/>
  <c r="O358" i="2"/>
  <c r="O359" i="2"/>
  <c r="O361" i="2"/>
  <c r="O370" i="2"/>
  <c r="P370" i="2"/>
  <c r="O163" i="2"/>
  <c r="P164" i="2"/>
  <c r="O165" i="2"/>
  <c r="P166" i="2"/>
  <c r="O167" i="2"/>
  <c r="P168" i="2"/>
  <c r="O169" i="2"/>
  <c r="P170" i="2"/>
  <c r="O171" i="2"/>
  <c r="P172" i="2"/>
  <c r="O173" i="2"/>
  <c r="P174" i="2"/>
  <c r="O175" i="2"/>
  <c r="P176" i="2"/>
  <c r="O177" i="2"/>
  <c r="P178" i="2"/>
  <c r="O179" i="2"/>
  <c r="P180" i="2"/>
  <c r="O181" i="2"/>
  <c r="P182" i="2"/>
  <c r="O183" i="2"/>
  <c r="O184" i="2"/>
  <c r="P185" i="2"/>
  <c r="P187" i="2"/>
  <c r="P188" i="2"/>
  <c r="P189" i="2"/>
  <c r="O191" i="2"/>
  <c r="P193" i="2"/>
  <c r="P195" i="2"/>
  <c r="P196" i="2"/>
  <c r="P197" i="2"/>
  <c r="O199" i="2"/>
  <c r="P201" i="2"/>
  <c r="P203" i="2"/>
  <c r="P204" i="2"/>
  <c r="P205" i="2"/>
  <c r="O207" i="2"/>
  <c r="P209" i="2"/>
  <c r="P211" i="2"/>
  <c r="P212" i="2"/>
  <c r="P213" i="2"/>
  <c r="O215" i="2"/>
  <c r="P217" i="2"/>
  <c r="P219" i="2"/>
  <c r="P220" i="2"/>
  <c r="P221" i="2"/>
  <c r="O223" i="2"/>
  <c r="P225" i="2"/>
  <c r="P227" i="2"/>
  <c r="P228" i="2"/>
  <c r="P229" i="2"/>
  <c r="O231" i="2"/>
  <c r="O277" i="2"/>
  <c r="P277" i="2"/>
  <c r="O371" i="2"/>
  <c r="O373" i="2"/>
  <c r="O378" i="2"/>
  <c r="P378" i="2"/>
  <c r="O389" i="2"/>
  <c r="O391" i="2"/>
  <c r="O392" i="2"/>
  <c r="O397" i="2"/>
  <c r="O399" i="2"/>
  <c r="O400" i="2"/>
  <c r="O405" i="2"/>
  <c r="O407" i="2"/>
  <c r="O408" i="2"/>
  <c r="O413" i="2"/>
  <c r="O415" i="2"/>
  <c r="O416" i="2"/>
  <c r="O418" i="2"/>
  <c r="O419" i="2"/>
  <c r="O422" i="2"/>
  <c r="O423" i="2"/>
  <c r="O426" i="2"/>
  <c r="O427" i="2"/>
  <c r="O430" i="2"/>
  <c r="O431" i="2"/>
  <c r="O435" i="2"/>
  <c r="O437" i="2"/>
  <c r="O439" i="2"/>
  <c r="O441" i="2"/>
  <c r="O443" i="2"/>
  <c r="O445" i="2"/>
  <c r="O447" i="2"/>
  <c r="O449" i="2"/>
  <c r="O451" i="2"/>
  <c r="O180" i="2"/>
  <c r="O190" i="2"/>
  <c r="O192" i="2"/>
  <c r="O198" i="2"/>
  <c r="O285" i="2"/>
  <c r="P285" i="2"/>
  <c r="O379" i="2"/>
  <c r="O381" i="2"/>
  <c r="O386" i="2"/>
  <c r="P386" i="2"/>
  <c r="O232" i="2"/>
  <c r="O238" i="2"/>
  <c r="O240" i="2"/>
  <c r="O246" i="2"/>
  <c r="O248" i="2"/>
  <c r="O254" i="2"/>
  <c r="O256" i="2"/>
  <c r="O257" i="2"/>
  <c r="O260" i="2"/>
  <c r="O262" i="2"/>
  <c r="O265" i="2"/>
  <c r="O268" i="2"/>
  <c r="O270" i="2"/>
  <c r="O272" i="2"/>
  <c r="O274" i="2"/>
  <c r="O276" i="2"/>
  <c r="P278" i="2"/>
  <c r="O279" i="2"/>
  <c r="P280" i="2"/>
  <c r="O281" i="2"/>
  <c r="O290" i="2"/>
  <c r="O292" i="2"/>
  <c r="P294" i="2"/>
  <c r="O295" i="2"/>
  <c r="P296" i="2"/>
  <c r="O300" i="2"/>
  <c r="O302" i="2"/>
  <c r="P304" i="2"/>
  <c r="P306" i="2"/>
  <c r="P307" i="2"/>
  <c r="P308" i="2"/>
  <c r="P309" i="2"/>
  <c r="P310" i="2"/>
  <c r="P312" i="2"/>
  <c r="P314" i="2"/>
  <c r="P316" i="2"/>
  <c r="P317" i="2"/>
  <c r="P318" i="2"/>
  <c r="P320" i="2"/>
  <c r="P322" i="2"/>
  <c r="P324" i="2"/>
  <c r="P325" i="2"/>
  <c r="P326" i="2"/>
  <c r="P328" i="2"/>
  <c r="P330" i="2"/>
  <c r="P331" i="2"/>
  <c r="P332" i="2"/>
  <c r="P333" i="2"/>
  <c r="P334" i="2"/>
  <c r="P336" i="2"/>
  <c r="P337" i="2"/>
  <c r="P338" i="2"/>
  <c r="P340" i="2"/>
  <c r="P341" i="2"/>
  <c r="P342" i="2"/>
  <c r="P344" i="2"/>
  <c r="P345" i="2"/>
  <c r="P346" i="2"/>
  <c r="P347" i="2"/>
  <c r="P348" i="2"/>
  <c r="P349" i="2"/>
  <c r="P350" i="2"/>
  <c r="P352" i="2"/>
  <c r="P353" i="2"/>
  <c r="P354" i="2"/>
  <c r="P355" i="2"/>
  <c r="P356" i="2"/>
  <c r="P357" i="2"/>
  <c r="P358" i="2"/>
  <c r="P360" i="2"/>
  <c r="P361" i="2"/>
  <c r="O362" i="2"/>
  <c r="P363" i="2"/>
  <c r="O364" i="2"/>
  <c r="P365" i="2"/>
  <c r="O366" i="2"/>
  <c r="O375" i="2"/>
  <c r="O377" i="2"/>
  <c r="P379" i="2"/>
  <c r="O380" i="2"/>
  <c r="P381" i="2"/>
  <c r="O382" i="2"/>
  <c r="O453" i="2"/>
  <c r="O455" i="2"/>
  <c r="O457" i="2"/>
  <c r="O459" i="2"/>
  <c r="O461" i="2"/>
  <c r="O463" i="2"/>
  <c r="O465" i="2"/>
  <c r="O467" i="2"/>
  <c r="O469" i="2"/>
  <c r="O471" i="2"/>
  <c r="O473" i="2"/>
  <c r="O475" i="2"/>
  <c r="O477" i="2"/>
  <c r="O479" i="2"/>
  <c r="O481" i="2"/>
  <c r="O483" i="2"/>
  <c r="O485" i="2"/>
  <c r="O487" i="2"/>
  <c r="O489" i="2"/>
  <c r="O491" i="2"/>
  <c r="O493" i="2"/>
  <c r="O495" i="2"/>
  <c r="O497" i="2"/>
  <c r="O499" i="2"/>
  <c r="O501" i="2"/>
  <c r="O282" i="2"/>
  <c r="O284" i="2"/>
  <c r="P286" i="2"/>
  <c r="O287" i="2"/>
  <c r="P288" i="2"/>
  <c r="O289" i="2"/>
  <c r="O367" i="2"/>
  <c r="O369" i="2"/>
  <c r="P371" i="2"/>
  <c r="O372" i="2"/>
  <c r="P373" i="2"/>
  <c r="O374" i="2"/>
  <c r="O383" i="2"/>
  <c r="O385" i="2"/>
  <c r="O387" i="2"/>
  <c r="P388" i="2"/>
  <c r="P390" i="2"/>
  <c r="P391" i="2"/>
  <c r="P392" i="2"/>
  <c r="O394" i="2"/>
  <c r="P396" i="2"/>
  <c r="P398" i="2"/>
  <c r="P399" i="2"/>
  <c r="P400" i="2"/>
  <c r="O402" i="2"/>
  <c r="P404" i="2"/>
  <c r="P406" i="2"/>
  <c r="P407" i="2"/>
  <c r="P408" i="2"/>
  <c r="O410" i="2"/>
  <c r="P412" i="2"/>
  <c r="P414" i="2"/>
  <c r="P415" i="2"/>
  <c r="P416" i="2"/>
  <c r="P418" i="2"/>
  <c r="P422" i="2"/>
  <c r="P426" i="2"/>
  <c r="P430" i="2"/>
  <c r="P434" i="2"/>
  <c r="P435" i="2"/>
  <c r="P439" i="2"/>
  <c r="P441" i="2"/>
  <c r="P442" i="2"/>
  <c r="P443" i="2"/>
  <c r="P447" i="2"/>
  <c r="P449" i="2"/>
  <c r="P450" i="2"/>
  <c r="P451" i="2"/>
  <c r="P455" i="2"/>
  <c r="P457" i="2"/>
  <c r="P458" i="2"/>
  <c r="P459" i="2"/>
  <c r="P463" i="2"/>
  <c r="P465" i="2"/>
  <c r="P466" i="2"/>
  <c r="P467" i="2"/>
  <c r="P471" i="2"/>
  <c r="P473" i="2"/>
  <c r="P474" i="2"/>
  <c r="P475" i="2"/>
  <c r="P479" i="2"/>
  <c r="P481" i="2"/>
  <c r="P482" i="2"/>
  <c r="P483" i="2"/>
  <c r="P487" i="2"/>
  <c r="P489" i="2"/>
  <c r="P490" i="2"/>
  <c r="P491" i="2"/>
  <c r="P495" i="2"/>
  <c r="P497" i="2"/>
  <c r="P498" i="2"/>
  <c r="P499" i="2"/>
  <c r="H25" i="3"/>
  <c r="H24" i="3"/>
  <c r="I24" i="3" s="1"/>
  <c r="P3" i="2"/>
  <c r="C25" i="3"/>
  <c r="D33" i="3"/>
  <c r="D32" i="3"/>
  <c r="D31" i="3"/>
  <c r="D30" i="3"/>
  <c r="D29" i="3"/>
  <c r="D28" i="3"/>
  <c r="D27" i="3"/>
  <c r="D26" i="3"/>
  <c r="B25" i="3"/>
  <c r="E25" i="3" s="1"/>
  <c r="D24" i="3"/>
  <c r="C33" i="3"/>
  <c r="C32" i="3"/>
  <c r="C31" i="3"/>
  <c r="C30" i="3"/>
  <c r="C29" i="3"/>
  <c r="C28" i="3"/>
  <c r="C27" i="3"/>
  <c r="C26" i="3"/>
  <c r="C24" i="3"/>
  <c r="B33" i="3"/>
  <c r="B32" i="3"/>
  <c r="E32" i="3" s="1"/>
  <c r="B31" i="3"/>
  <c r="E31" i="3" s="1"/>
  <c r="B30" i="3"/>
  <c r="B29" i="3"/>
  <c r="B28" i="3"/>
  <c r="E28" i="3" s="1"/>
  <c r="B27" i="3"/>
  <c r="E27" i="3" s="1"/>
  <c r="B26" i="3"/>
  <c r="D25" i="3"/>
  <c r="B24" i="3"/>
  <c r="J4" i="3"/>
  <c r="P6" i="2"/>
  <c r="P10" i="2"/>
  <c r="P14" i="2"/>
  <c r="P18" i="2"/>
  <c r="P22" i="2"/>
  <c r="P26" i="2"/>
  <c r="P30" i="2"/>
  <c r="P34" i="2"/>
  <c r="P38" i="2"/>
  <c r="P42" i="2"/>
  <c r="P46" i="2"/>
  <c r="P50" i="2"/>
  <c r="P54" i="2"/>
  <c r="P58" i="2"/>
  <c r="P62" i="2"/>
  <c r="P63" i="2"/>
  <c r="P67" i="2"/>
  <c r="P71" i="2"/>
  <c r="P75" i="2"/>
  <c r="P79" i="2"/>
  <c r="I20" i="3"/>
  <c r="I18" i="3"/>
  <c r="I16" i="3"/>
  <c r="I14" i="3"/>
  <c r="I12" i="3"/>
  <c r="I11" i="3"/>
  <c r="I10" i="3"/>
  <c r="I9" i="3"/>
  <c r="H20" i="3"/>
  <c r="H18" i="3"/>
  <c r="H16" i="3"/>
  <c r="H14" i="3"/>
  <c r="H12" i="3"/>
  <c r="H11" i="3"/>
  <c r="H10" i="3"/>
  <c r="H9" i="3"/>
  <c r="I19" i="3"/>
  <c r="I17" i="3"/>
  <c r="I15" i="3"/>
  <c r="I13" i="3"/>
  <c r="H19" i="3"/>
  <c r="H17" i="3"/>
  <c r="H15" i="3"/>
  <c r="H13" i="3"/>
  <c r="O2" i="2"/>
  <c r="P87" i="2"/>
  <c r="P95" i="2"/>
  <c r="P103" i="2"/>
  <c r="L11" i="3"/>
  <c r="L10" i="3"/>
  <c r="L9" i="3"/>
  <c r="P8" i="2"/>
  <c r="P12" i="2"/>
  <c r="P16" i="2"/>
  <c r="P20" i="2"/>
  <c r="P24" i="2"/>
  <c r="P28" i="2"/>
  <c r="P32" i="2"/>
  <c r="P36" i="2"/>
  <c r="P40" i="2"/>
  <c r="P44" i="2"/>
  <c r="P48" i="2"/>
  <c r="P52" i="2"/>
  <c r="P56" i="2"/>
  <c r="P60" i="2"/>
  <c r="P64" i="2"/>
  <c r="P68" i="2"/>
  <c r="P72" i="2"/>
  <c r="P76" i="2"/>
  <c r="P80" i="2"/>
  <c r="P81" i="2"/>
  <c r="P88" i="2"/>
  <c r="P89" i="2"/>
  <c r="P96" i="2"/>
  <c r="P97" i="2"/>
  <c r="P105" i="2"/>
  <c r="P82" i="2"/>
  <c r="P90" i="2"/>
  <c r="P98" i="2"/>
  <c r="P106" i="2"/>
  <c r="P119" i="2"/>
  <c r="P121" i="2"/>
  <c r="P123" i="2"/>
  <c r="P125" i="2"/>
  <c r="P127" i="2"/>
  <c r="P129" i="2"/>
  <c r="P131" i="2"/>
  <c r="P133" i="2"/>
  <c r="P135" i="2"/>
  <c r="P137" i="2"/>
  <c r="P139" i="2"/>
  <c r="P141" i="2"/>
  <c r="P143" i="2"/>
  <c r="P145" i="2"/>
  <c r="P147" i="2"/>
  <c r="P149" i="2"/>
  <c r="P151" i="2"/>
  <c r="P153" i="2"/>
  <c r="P155" i="2"/>
  <c r="P157" i="2"/>
  <c r="P159" i="2"/>
  <c r="P161" i="2"/>
  <c r="P163" i="2"/>
  <c r="P165" i="2"/>
  <c r="P167" i="2"/>
  <c r="P169" i="2"/>
  <c r="P171" i="2"/>
  <c r="P173" i="2"/>
  <c r="P175" i="2"/>
  <c r="P177" i="2"/>
  <c r="P179" i="2"/>
  <c r="P181" i="2"/>
  <c r="P183" i="2"/>
  <c r="P191" i="2"/>
  <c r="P199" i="2"/>
  <c r="P207" i="2"/>
  <c r="P215" i="2"/>
  <c r="P223" i="2"/>
  <c r="P231" i="2"/>
  <c r="P239" i="2"/>
  <c r="P247" i="2"/>
  <c r="P255" i="2"/>
  <c r="P263" i="2"/>
  <c r="P271" i="2"/>
  <c r="O182" i="2"/>
  <c r="P186" i="2"/>
  <c r="O187" i="2"/>
  <c r="P194" i="2"/>
  <c r="O195" i="2"/>
  <c r="P202" i="2"/>
  <c r="O203" i="2"/>
  <c r="P210" i="2"/>
  <c r="O211" i="2"/>
  <c r="P218" i="2"/>
  <c r="O219" i="2"/>
  <c r="P226" i="2"/>
  <c r="O227" i="2"/>
  <c r="P234" i="2"/>
  <c r="O235" i="2"/>
  <c r="P242" i="2"/>
  <c r="O243" i="2"/>
  <c r="P250" i="2"/>
  <c r="O251" i="2"/>
  <c r="P258" i="2"/>
  <c r="O259" i="2"/>
  <c r="P266" i="2"/>
  <c r="O267" i="2"/>
  <c r="O273" i="2"/>
  <c r="P279" i="2"/>
  <c r="P287" i="2"/>
  <c r="P295" i="2"/>
  <c r="E15" i="3"/>
  <c r="C14" i="3"/>
  <c r="E13" i="3"/>
  <c r="C12" i="3"/>
  <c r="C11" i="3"/>
  <c r="C10" i="3"/>
  <c r="C9" i="3"/>
  <c r="B14" i="3"/>
  <c r="B12" i="3"/>
  <c r="B11" i="3"/>
  <c r="B10" i="3"/>
  <c r="B9" i="3"/>
  <c r="D9" i="3" s="1"/>
  <c r="C15" i="3"/>
  <c r="E14" i="3"/>
  <c r="C13" i="3"/>
  <c r="E12" i="3"/>
  <c r="E11" i="3"/>
  <c r="E10" i="3"/>
  <c r="E9" i="3"/>
  <c r="B15" i="3"/>
  <c r="B13" i="3"/>
  <c r="D13" i="3" s="1"/>
  <c r="B4" i="3"/>
  <c r="H4" i="3" s="1"/>
  <c r="P2" i="2"/>
  <c r="P184" i="2"/>
  <c r="O185" i="2"/>
  <c r="P192" i="2"/>
  <c r="O193" i="2"/>
  <c r="P200" i="2"/>
  <c r="O201" i="2"/>
  <c r="P208" i="2"/>
  <c r="O209" i="2"/>
  <c r="P216" i="2"/>
  <c r="O217" i="2"/>
  <c r="P224" i="2"/>
  <c r="O225" i="2"/>
  <c r="O233" i="2"/>
  <c r="O241" i="2"/>
  <c r="O249" i="2"/>
  <c r="P190" i="2"/>
  <c r="P198" i="2"/>
  <c r="P206" i="2"/>
  <c r="P214" i="2"/>
  <c r="P222" i="2"/>
  <c r="P230" i="2"/>
  <c r="P238" i="2"/>
  <c r="P246" i="2"/>
  <c r="P254" i="2"/>
  <c r="P262" i="2"/>
  <c r="P270" i="2"/>
  <c r="P275" i="2"/>
  <c r="P283" i="2"/>
  <c r="P291" i="2"/>
  <c r="P297" i="2"/>
  <c r="O297" i="2"/>
  <c r="P298" i="2"/>
  <c r="P300" i="2"/>
  <c r="P299" i="2"/>
  <c r="P302" i="2"/>
  <c r="P315" i="2"/>
  <c r="P323" i="2"/>
  <c r="P339" i="2"/>
  <c r="O348" i="2"/>
  <c r="O356" i="2"/>
  <c r="P362" i="2"/>
  <c r="P305" i="2"/>
  <c r="O306" i="2"/>
  <c r="P313" i="2"/>
  <c r="O314" i="2"/>
  <c r="P321" i="2"/>
  <c r="O322" i="2"/>
  <c r="P329" i="2"/>
  <c r="O330" i="2"/>
  <c r="O338" i="2"/>
  <c r="O346" i="2"/>
  <c r="O354" i="2"/>
  <c r="O360" i="2"/>
  <c r="P364" i="2"/>
  <c r="P372" i="2"/>
  <c r="P380" i="2"/>
  <c r="O294" i="2"/>
  <c r="O296" i="2"/>
  <c r="P303" i="2"/>
  <c r="O304" i="2"/>
  <c r="P311" i="2"/>
  <c r="O312" i="2"/>
  <c r="P319" i="2"/>
  <c r="O320" i="2"/>
  <c r="P327" i="2"/>
  <c r="O328" i="2"/>
  <c r="P335" i="2"/>
  <c r="O336" i="2"/>
  <c r="P343" i="2"/>
  <c r="O344" i="2"/>
  <c r="P351" i="2"/>
  <c r="O352" i="2"/>
  <c r="P359" i="2"/>
  <c r="P301" i="2"/>
  <c r="P368" i="2"/>
  <c r="P376" i="2"/>
  <c r="P384" i="2"/>
  <c r="P394" i="2"/>
  <c r="P402" i="2"/>
  <c r="P410" i="2"/>
  <c r="P389" i="2"/>
  <c r="O390" i="2"/>
  <c r="P397" i="2"/>
  <c r="O398" i="2"/>
  <c r="P405" i="2"/>
  <c r="O406" i="2"/>
  <c r="P413" i="2"/>
  <c r="O414" i="2"/>
  <c r="P419" i="2"/>
  <c r="P423" i="2"/>
  <c r="P427" i="2"/>
  <c r="P431" i="2"/>
  <c r="P436" i="2"/>
  <c r="P437" i="2"/>
  <c r="P444" i="2"/>
  <c r="P445" i="2"/>
  <c r="P452" i="2"/>
  <c r="P453" i="2"/>
  <c r="P460" i="2"/>
  <c r="P461" i="2"/>
  <c r="P468" i="2"/>
  <c r="P469" i="2"/>
  <c r="P476" i="2"/>
  <c r="P477" i="2"/>
  <c r="P484" i="2"/>
  <c r="P485" i="2"/>
  <c r="P492" i="2"/>
  <c r="P493" i="2"/>
  <c r="P500" i="2"/>
  <c r="P501" i="2"/>
  <c r="P387" i="2"/>
  <c r="O388" i="2"/>
  <c r="P395" i="2"/>
  <c r="O396" i="2"/>
  <c r="P403" i="2"/>
  <c r="O404" i="2"/>
  <c r="P411" i="2"/>
  <c r="O412" i="2"/>
  <c r="P420" i="2"/>
  <c r="P424" i="2"/>
  <c r="P428" i="2"/>
  <c r="P432" i="2"/>
  <c r="P438" i="2"/>
  <c r="P446" i="2"/>
  <c r="P454" i="2"/>
  <c r="P462" i="2"/>
  <c r="P470" i="2"/>
  <c r="P478" i="2"/>
  <c r="P486" i="2"/>
  <c r="P494" i="2"/>
  <c r="P393" i="2"/>
  <c r="P401" i="2"/>
  <c r="P409" i="2"/>
  <c r="P417" i="2"/>
  <c r="P421" i="2"/>
  <c r="P425" i="2"/>
  <c r="P429" i="2"/>
  <c r="P433" i="2"/>
  <c r="P440" i="2"/>
  <c r="P448" i="2"/>
  <c r="P456" i="2"/>
  <c r="P464" i="2"/>
  <c r="P472" i="2"/>
  <c r="P480" i="2"/>
  <c r="P488" i="2"/>
  <c r="P496" i="2"/>
  <c r="O440" i="2"/>
  <c r="O442" i="2"/>
  <c r="O444" i="2"/>
  <c r="O446" i="2"/>
  <c r="O448" i="2"/>
  <c r="O450" i="2"/>
  <c r="O452" i="2"/>
  <c r="O454" i="2"/>
  <c r="O456" i="2"/>
  <c r="O458" i="2"/>
  <c r="O460" i="2"/>
  <c r="O462" i="2"/>
  <c r="O464" i="2"/>
  <c r="O466" i="2"/>
  <c r="O468" i="2"/>
  <c r="O470" i="2"/>
  <c r="O472" i="2"/>
  <c r="O474" i="2"/>
  <c r="O476" i="2"/>
  <c r="O478" i="2"/>
  <c r="O480" i="2"/>
  <c r="O482" i="2"/>
  <c r="O484" i="2"/>
  <c r="O486" i="2"/>
  <c r="O488" i="2"/>
  <c r="O490" i="2"/>
  <c r="O492" i="2"/>
  <c r="O494" i="2"/>
  <c r="O496" i="2"/>
  <c r="O498" i="2"/>
  <c r="O500" i="2"/>
  <c r="D15" i="3" l="1"/>
  <c r="D11" i="3"/>
  <c r="M11" i="3"/>
  <c r="E26" i="3"/>
  <c r="E30" i="3"/>
  <c r="L4" i="3"/>
  <c r="D10" i="3"/>
  <c r="M10" i="3"/>
  <c r="E29" i="3"/>
  <c r="E33" i="3"/>
  <c r="D12" i="3"/>
  <c r="D14" i="3"/>
  <c r="M9" i="3"/>
  <c r="E24" i="3"/>
  <c r="I25" i="3"/>
</calcChain>
</file>

<file path=xl/sharedStrings.xml><?xml version="1.0" encoding="utf-8"?>
<sst xmlns="http://schemas.openxmlformats.org/spreadsheetml/2006/main" count="3598" uniqueCount="847">
  <si>
    <t>Order_ID</t>
  </si>
  <si>
    <t>Date</t>
  </si>
  <si>
    <t>Customer_Name</t>
  </si>
  <si>
    <t>City</t>
  </si>
  <si>
    <t>Medicine_Name</t>
  </si>
  <si>
    <t>Category</t>
  </si>
  <si>
    <t>Quantity</t>
  </si>
  <si>
    <t>Unit_Price</t>
  </si>
  <si>
    <t>Cost_Price</t>
  </si>
  <si>
    <t>Total_Sales</t>
  </si>
  <si>
    <t>Discount_%</t>
  </si>
  <si>
    <t>Final_Amount</t>
  </si>
  <si>
    <t>Payment_Mode</t>
  </si>
  <si>
    <t>Prescription</t>
  </si>
  <si>
    <t>ORD-0001</t>
  </si>
  <si>
    <t>Swati Patel</t>
  </si>
  <si>
    <t>Chennai</t>
  </si>
  <si>
    <t>Paracetamol 500mg</t>
  </si>
  <si>
    <t>Tablet</t>
  </si>
  <si>
    <t>Cash</t>
  </si>
  <si>
    <t>Yes</t>
  </si>
  <si>
    <t>ORD-0002</t>
  </si>
  <si>
    <t>Swati Singh</t>
  </si>
  <si>
    <t>Mumbai</t>
  </si>
  <si>
    <t>Omeprazole 20mg</t>
  </si>
  <si>
    <t>Capsule</t>
  </si>
  <si>
    <t>UPI</t>
  </si>
  <si>
    <t>ORD-0003</t>
  </si>
  <si>
    <t>Rahul Dubey</t>
  </si>
  <si>
    <t>Kolkata</t>
  </si>
  <si>
    <t>Soframycin Cream</t>
  </si>
  <si>
    <t>Cream</t>
  </si>
  <si>
    <t>No</t>
  </si>
  <si>
    <t>ORD-0004</t>
  </si>
  <si>
    <t>Sunita Patel</t>
  </si>
  <si>
    <t>Pune</t>
  </si>
  <si>
    <t>Candid Cream</t>
  </si>
  <si>
    <t>ORD-0005</t>
  </si>
  <si>
    <t>Ibuprofen 400mg</t>
  </si>
  <si>
    <t>ORD-0006</t>
  </si>
  <si>
    <t>Priya Agarwal</t>
  </si>
  <si>
    <t>Azithromycin 500mg</t>
  </si>
  <si>
    <t>ORD-0007</t>
  </si>
  <si>
    <t>Meera Gupta</t>
  </si>
  <si>
    <t>Delhi</t>
  </si>
  <si>
    <t>Protein Supplement</t>
  </si>
  <si>
    <t>Powder</t>
  </si>
  <si>
    <t>Card</t>
  </si>
  <si>
    <t>ORD-0008</t>
  </si>
  <si>
    <t>Sanjay Mehta</t>
  </si>
  <si>
    <t>Ondansetron Inj</t>
  </si>
  <si>
    <t>Injection</t>
  </si>
  <si>
    <t>ORD-0009</t>
  </si>
  <si>
    <t>Deepa Mishra</t>
  </si>
  <si>
    <t>Jaipur</t>
  </si>
  <si>
    <t>ORD-0010</t>
  </si>
  <si>
    <t>Arjun Singh</t>
  </si>
  <si>
    <t>ORD-0011</t>
  </si>
  <si>
    <t>Swati Kumar</t>
  </si>
  <si>
    <t>Ahmedabad</t>
  </si>
  <si>
    <t>Vitamin D3 60K</t>
  </si>
  <si>
    <t>ORD-0012</t>
  </si>
  <si>
    <t>Priya Mishra</t>
  </si>
  <si>
    <t>ORD-0013</t>
  </si>
  <si>
    <t>Sanjay Verma</t>
  </si>
  <si>
    <t>Ambroxol Syrup</t>
  </si>
  <si>
    <t>Syrup</t>
  </si>
  <si>
    <t>ORD-0014</t>
  </si>
  <si>
    <t>Kavita Mehta</t>
  </si>
  <si>
    <t>Otrivin Nasal Drops</t>
  </si>
  <si>
    <t>Drops</t>
  </si>
  <si>
    <t>ORD-0015</t>
  </si>
  <si>
    <t>Kavita Mishra</t>
  </si>
  <si>
    <t>ORD-0016</t>
  </si>
  <si>
    <t>Manish Nair</t>
  </si>
  <si>
    <t>Hyderabad</t>
  </si>
  <si>
    <t>Refresh Tears</t>
  </si>
  <si>
    <t>ORD-0017</t>
  </si>
  <si>
    <t>Kavita Singh</t>
  </si>
  <si>
    <t>Cipla Eye Drops</t>
  </si>
  <si>
    <t>ORD-0018</t>
  </si>
  <si>
    <t>Swati Dubey</t>
  </si>
  <si>
    <t>Antacid Syrup</t>
  </si>
  <si>
    <t>ORD-0019</t>
  </si>
  <si>
    <t>Rohit Nair</t>
  </si>
  <si>
    <t>Cetirizine Syrup</t>
  </si>
  <si>
    <t>ORD-0020</t>
  </si>
  <si>
    <t>Sanjay Nair</t>
  </si>
  <si>
    <t>Antifungal Powder</t>
  </si>
  <si>
    <t>ORD-0021</t>
  </si>
  <si>
    <t>Deepa Rao</t>
  </si>
  <si>
    <t>ORD-0022</t>
  </si>
  <si>
    <t>Amit Verma</t>
  </si>
  <si>
    <t>Amoxicillin 250mg</t>
  </si>
  <si>
    <t>ORD-0023</t>
  </si>
  <si>
    <t>Vijay Shah</t>
  </si>
  <si>
    <t>Vitamin B12 Inj</t>
  </si>
  <si>
    <t>ORD-0024</t>
  </si>
  <si>
    <t>Pooja Mehta</t>
  </si>
  <si>
    <t>ORD-0025</t>
  </si>
  <si>
    <t>Sunita Singh</t>
  </si>
  <si>
    <t>ORD-0026</t>
  </si>
  <si>
    <t>Amit Shah</t>
  </si>
  <si>
    <t>ORD-0027</t>
  </si>
  <si>
    <t>Anjali Mehta</t>
  </si>
  <si>
    <t>ORD-0028</t>
  </si>
  <si>
    <t>Suresh Nair</t>
  </si>
  <si>
    <t>Doxycycline 100mg</t>
  </si>
  <si>
    <t>ORD-0029</t>
  </si>
  <si>
    <t>Priya Rao</t>
  </si>
  <si>
    <t>ORD-0030</t>
  </si>
  <si>
    <t>Anjali Sharma</t>
  </si>
  <si>
    <t>ORD-0031</t>
  </si>
  <si>
    <t>Sunita Nair</t>
  </si>
  <si>
    <t>Metformin 500mg</t>
  </si>
  <si>
    <t>ORD-0032</t>
  </si>
  <si>
    <t>Manish Joshi</t>
  </si>
  <si>
    <t>Surat</t>
  </si>
  <si>
    <t>ORD-0033</t>
  </si>
  <si>
    <t>Sanjay Joshi</t>
  </si>
  <si>
    <t>Paracetamol Syrup</t>
  </si>
  <si>
    <t>ORD-0034</t>
  </si>
  <si>
    <t>Suresh Gupta</t>
  </si>
  <si>
    <t>Pantoprazole 40mg</t>
  </si>
  <si>
    <t>ORD-0035</t>
  </si>
  <si>
    <t>Kavita Rao</t>
  </si>
  <si>
    <t>Atorvastatin 10mg</t>
  </si>
  <si>
    <t>ORD-0036</t>
  </si>
  <si>
    <t>ORD-0037</t>
  </si>
  <si>
    <t>Rohit Agarwal</t>
  </si>
  <si>
    <t>Bangalore</t>
  </si>
  <si>
    <t>ORD-0038</t>
  </si>
  <si>
    <t>Amit Agarwal</t>
  </si>
  <si>
    <t>ORD-0039</t>
  </si>
  <si>
    <t>ORD-0040</t>
  </si>
  <si>
    <t>Vikram Verma</t>
  </si>
  <si>
    <t>ORD-0041</t>
  </si>
  <si>
    <t>Meera Nair</t>
  </si>
  <si>
    <t>ORD-0042</t>
  </si>
  <si>
    <t>Pooja Rao</t>
  </si>
  <si>
    <t>ORD-0043</t>
  </si>
  <si>
    <t>Pooja Dubey</t>
  </si>
  <si>
    <t>ORD-0044</t>
  </si>
  <si>
    <t>ORD-0045</t>
  </si>
  <si>
    <t>Deepa Sharma</t>
  </si>
  <si>
    <t>ORD-0046</t>
  </si>
  <si>
    <t>Manish Mehta</t>
  </si>
  <si>
    <t>ORD-0047</t>
  </si>
  <si>
    <t>Vijay Kumar</t>
  </si>
  <si>
    <t>ORD-0048</t>
  </si>
  <si>
    <t>Sunita Mehta</t>
  </si>
  <si>
    <t>Losartan 50mg</t>
  </si>
  <si>
    <t>ORD-0049</t>
  </si>
  <si>
    <t>Rohit Joshi</t>
  </si>
  <si>
    <t>ORD-0050</t>
  </si>
  <si>
    <t>Kavita Agarwal</t>
  </si>
  <si>
    <t>ORD-0051</t>
  </si>
  <si>
    <t>Nikhil Agarwal</t>
  </si>
  <si>
    <t>ORD-0052</t>
  </si>
  <si>
    <t>Rohit Mehta</t>
  </si>
  <si>
    <t>ORD-0053</t>
  </si>
  <si>
    <t>Rekha Dubey</t>
  </si>
  <si>
    <t>ORD-0054</t>
  </si>
  <si>
    <t>Deepa Agarwal</t>
  </si>
  <si>
    <t>Betadine Cream</t>
  </si>
  <si>
    <t>ORD-0055</t>
  </si>
  <si>
    <t>ORD-0056</t>
  </si>
  <si>
    <t>Rahul Nair</t>
  </si>
  <si>
    <t>ORD-0057</t>
  </si>
  <si>
    <t>Sunita Shah</t>
  </si>
  <si>
    <t>ORD-0058</t>
  </si>
  <si>
    <t>Nisha Mishra</t>
  </si>
  <si>
    <t>ORD-0059</t>
  </si>
  <si>
    <t>Suresh Dubey</t>
  </si>
  <si>
    <t>ORD-0060</t>
  </si>
  <si>
    <t>Arjun Joshi</t>
  </si>
  <si>
    <t>ORD-0061</t>
  </si>
  <si>
    <t>Amit Mehta</t>
  </si>
  <si>
    <t>ORD-0062</t>
  </si>
  <si>
    <t>Vijay Tiwari</t>
  </si>
  <si>
    <t>ORD-0063</t>
  </si>
  <si>
    <t>Nikhil Mishra</t>
  </si>
  <si>
    <t>ORD-0064</t>
  </si>
  <si>
    <t>Rekha Sharma</t>
  </si>
  <si>
    <t>ORD-0065</t>
  </si>
  <si>
    <t>Nikhil Rao</t>
  </si>
  <si>
    <t>ORD-0066</t>
  </si>
  <si>
    <t>Suresh Mehta</t>
  </si>
  <si>
    <t>ORD-0067</t>
  </si>
  <si>
    <t>Pooja Kumar</t>
  </si>
  <si>
    <t>ORD-0068</t>
  </si>
  <si>
    <t>Priya Dubey</t>
  </si>
  <si>
    <t>ORD-0069</t>
  </si>
  <si>
    <t>Sunita Rao</t>
  </si>
  <si>
    <t>ORD-0070</t>
  </si>
  <si>
    <t>Kavita Patel</t>
  </si>
  <si>
    <t>Fluconazole 150mg</t>
  </si>
  <si>
    <t>ORD-0071</t>
  </si>
  <si>
    <t>Cetirizine 10mg</t>
  </si>
  <si>
    <t>ORD-0072</t>
  </si>
  <si>
    <t>Priya Joshi</t>
  </si>
  <si>
    <t>Benadryl Cough Syrup</t>
  </si>
  <si>
    <t>ORD-0073</t>
  </si>
  <si>
    <t>Rekha Patel</t>
  </si>
  <si>
    <t>ORD-0074</t>
  </si>
  <si>
    <t>Suresh Rao</t>
  </si>
  <si>
    <t>ORD-0075</t>
  </si>
  <si>
    <t>Amit Kumar</t>
  </si>
  <si>
    <t>ORD-0076</t>
  </si>
  <si>
    <t>Arjun Gupta</t>
  </si>
  <si>
    <t>ORD-0077</t>
  </si>
  <si>
    <t>Suresh Verma</t>
  </si>
  <si>
    <t>ORD-0078</t>
  </si>
  <si>
    <t>Rekha Agarwal</t>
  </si>
  <si>
    <t>ORD-0079</t>
  </si>
  <si>
    <t>ORD-0080</t>
  </si>
  <si>
    <t>ORD-0081</t>
  </si>
  <si>
    <t>Sunita Tiwari</t>
  </si>
  <si>
    <t>ORD-0082</t>
  </si>
  <si>
    <t>Vijay Dubey</t>
  </si>
  <si>
    <t>ORD-0083</t>
  </si>
  <si>
    <t>Rahul Tiwari</t>
  </si>
  <si>
    <t>ORD-0084</t>
  </si>
  <si>
    <t>ORD-0085</t>
  </si>
  <si>
    <t>Suresh Mishra</t>
  </si>
  <si>
    <t>ORD-0086</t>
  </si>
  <si>
    <t>Vikram Gupta</t>
  </si>
  <si>
    <t>ORD-0087</t>
  </si>
  <si>
    <t>Nisha Singh</t>
  </si>
  <si>
    <t>Insulin Glargine</t>
  </si>
  <si>
    <t>ORD-0088</t>
  </si>
  <si>
    <t>Nisha Tiwari</t>
  </si>
  <si>
    <t>ORD-0089</t>
  </si>
  <si>
    <t>Amit Gupta</t>
  </si>
  <si>
    <t>ORS Electrolyte</t>
  </si>
  <si>
    <t>ORD-0090</t>
  </si>
  <si>
    <t>Kavita Tiwari</t>
  </si>
  <si>
    <t>ORD-0091</t>
  </si>
  <si>
    <t>Vikram Nair</t>
  </si>
  <si>
    <t>ORD-0092</t>
  </si>
  <si>
    <t>Vijay Nair</t>
  </si>
  <si>
    <t>ORD-0093</t>
  </si>
  <si>
    <t>Rekha Shah</t>
  </si>
  <si>
    <t>ORD-0094</t>
  </si>
  <si>
    <t>Vijay Rao</t>
  </si>
  <si>
    <t>ORD-0095</t>
  </si>
  <si>
    <t>Manish Agarwal</t>
  </si>
  <si>
    <t>ORD-0096</t>
  </si>
  <si>
    <t>Pooja Joshi</t>
  </si>
  <si>
    <t>ORD-0097</t>
  </si>
  <si>
    <t>ORD-0098</t>
  </si>
  <si>
    <t>ORD-0099</t>
  </si>
  <si>
    <t>Nisha Dubey</t>
  </si>
  <si>
    <t>ORD-0100</t>
  </si>
  <si>
    <t>ORD-0101</t>
  </si>
  <si>
    <t>Rahul Verma</t>
  </si>
  <si>
    <t>ORD-0102</t>
  </si>
  <si>
    <t>Kavita Verma</t>
  </si>
  <si>
    <t>ORD-0103</t>
  </si>
  <si>
    <t>ORD-0104</t>
  </si>
  <si>
    <t>Arjun Nair</t>
  </si>
  <si>
    <t>ORD-0105</t>
  </si>
  <si>
    <t>Rekha Joshi</t>
  </si>
  <si>
    <t>ORD-0106</t>
  </si>
  <si>
    <t>ORD-0107</t>
  </si>
  <si>
    <t>ORD-0108</t>
  </si>
  <si>
    <t>Sunita Mishra</t>
  </si>
  <si>
    <t>ORD-0109</t>
  </si>
  <si>
    <t>Vikram Patel</t>
  </si>
  <si>
    <t>ORD-0110</t>
  </si>
  <si>
    <t>Swati Mehta</t>
  </si>
  <si>
    <t>ORD-0111</t>
  </si>
  <si>
    <t>ORD-0112</t>
  </si>
  <si>
    <t>ORD-0113</t>
  </si>
  <si>
    <t>Anjali Gupta</t>
  </si>
  <si>
    <t>Dexamethasone Inj</t>
  </si>
  <si>
    <t>ORD-0114</t>
  </si>
  <si>
    <t>Deepa Shah</t>
  </si>
  <si>
    <t>ORD-0115</t>
  </si>
  <si>
    <t>Anjali Patel</t>
  </si>
  <si>
    <t>ORD-0116</t>
  </si>
  <si>
    <t>ORD-0117</t>
  </si>
  <si>
    <t>Kavita Sharma</t>
  </si>
  <si>
    <t>ORD-0118</t>
  </si>
  <si>
    <t>Kavita Dubey</t>
  </si>
  <si>
    <t>ORD-0119</t>
  </si>
  <si>
    <t>Vikram Agarwal</t>
  </si>
  <si>
    <t>ORD-0120</t>
  </si>
  <si>
    <t>ORD-0121</t>
  </si>
  <si>
    <t>Meera Verma</t>
  </si>
  <si>
    <t>ORD-0122</t>
  </si>
  <si>
    <t>ORD-0123</t>
  </si>
  <si>
    <t>ORD-0124</t>
  </si>
  <si>
    <t>Sunita Agarwal</t>
  </si>
  <si>
    <t>ORD-0125</t>
  </si>
  <si>
    <t>ORD-0126</t>
  </si>
  <si>
    <t>ORD-0127</t>
  </si>
  <si>
    <t>ORD-0128</t>
  </si>
  <si>
    <t>Suresh Sharma</t>
  </si>
  <si>
    <t>ORD-0129</t>
  </si>
  <si>
    <t>ORD-0130</t>
  </si>
  <si>
    <t>Sanjay Patel</t>
  </si>
  <si>
    <t>ORD-0131</t>
  </si>
  <si>
    <t>Vijay Singh</t>
  </si>
  <si>
    <t>ORD-0132</t>
  </si>
  <si>
    <t>Vikram Dubey</t>
  </si>
  <si>
    <t>ORD-0133</t>
  </si>
  <si>
    <t>Rahul Gupta</t>
  </si>
  <si>
    <t>ORD-0134</t>
  </si>
  <si>
    <t>Pooja Verma</t>
  </si>
  <si>
    <t>ORD-0135</t>
  </si>
  <si>
    <t>Manish Singh</t>
  </si>
  <si>
    <t>ORD-0136</t>
  </si>
  <si>
    <t>Nikhil Mehta</t>
  </si>
  <si>
    <t>ORD-0137</t>
  </si>
  <si>
    <t>Vikram Kumar</t>
  </si>
  <si>
    <t>ORD-0138</t>
  </si>
  <si>
    <t>ORD-0139</t>
  </si>
  <si>
    <t>ORD-0140</t>
  </si>
  <si>
    <t>ORD-0141</t>
  </si>
  <si>
    <t>ORD-0142</t>
  </si>
  <si>
    <t>Pooja Mishra</t>
  </si>
  <si>
    <t>ORD-0143</t>
  </si>
  <si>
    <t>ORD-0144</t>
  </si>
  <si>
    <t>Nisha Rao</t>
  </si>
  <si>
    <t>ORD-0145</t>
  </si>
  <si>
    <t>Kavita Nair</t>
  </si>
  <si>
    <t>ORD-0146</t>
  </si>
  <si>
    <t>Rahul Patel</t>
  </si>
  <si>
    <t>ORD-0147</t>
  </si>
  <si>
    <t>Arjun Dubey</t>
  </si>
  <si>
    <t>ORD-0148</t>
  </si>
  <si>
    <t>ORD-0149</t>
  </si>
  <si>
    <t>Manish Patel</t>
  </si>
  <si>
    <t>ORD-0150</t>
  </si>
  <si>
    <t>Deepa Mehta</t>
  </si>
  <si>
    <t>ORD-0151</t>
  </si>
  <si>
    <t>Kavita Joshi</t>
  </si>
  <si>
    <t>ORD-0152</t>
  </si>
  <si>
    <t>Manish Verma</t>
  </si>
  <si>
    <t>ORD-0153</t>
  </si>
  <si>
    <t>Amit Mishra</t>
  </si>
  <si>
    <t>ORD-0154</t>
  </si>
  <si>
    <t>ORD-0155</t>
  </si>
  <si>
    <t>ORD-0156</t>
  </si>
  <si>
    <t>Sunita Verma</t>
  </si>
  <si>
    <t>ORD-0157</t>
  </si>
  <si>
    <t>Anjali Rao</t>
  </si>
  <si>
    <t>ORD-0158</t>
  </si>
  <si>
    <t>ORD-0159</t>
  </si>
  <si>
    <t>Sanjay Agarwal</t>
  </si>
  <si>
    <t>ORD-0160</t>
  </si>
  <si>
    <t>Sanjay Sharma</t>
  </si>
  <si>
    <t>ORD-0161</t>
  </si>
  <si>
    <t>Priya Shah</t>
  </si>
  <si>
    <t>ORD-0162</t>
  </si>
  <si>
    <t>ORD-0163</t>
  </si>
  <si>
    <t>ORD-0164</t>
  </si>
  <si>
    <t>Nisha Sharma</t>
  </si>
  <si>
    <t>ORD-0165</t>
  </si>
  <si>
    <t>Suresh Tiwari</t>
  </si>
  <si>
    <t>ORD-0166</t>
  </si>
  <si>
    <t>Nikhil Gupta</t>
  </si>
  <si>
    <t>ORD-0167</t>
  </si>
  <si>
    <t>ORD-0168</t>
  </si>
  <si>
    <t>Kavita Gupta</t>
  </si>
  <si>
    <t>ORD-0169</t>
  </si>
  <si>
    <t>ORD-0170</t>
  </si>
  <si>
    <t>Nisha Mehta</t>
  </si>
  <si>
    <t>ORD-0171</t>
  </si>
  <si>
    <t>ORD-0172</t>
  </si>
  <si>
    <t>Rekha Nair</t>
  </si>
  <si>
    <t>ORD-0173</t>
  </si>
  <si>
    <t>Anjali Mishra</t>
  </si>
  <si>
    <t>ORD-0174</t>
  </si>
  <si>
    <t>Swati Nair</t>
  </si>
  <si>
    <t>ORD-0175</t>
  </si>
  <si>
    <t>Manish Gupta</t>
  </si>
  <si>
    <t>ORD-0176</t>
  </si>
  <si>
    <t>Meera Singh</t>
  </si>
  <si>
    <t>ORD-0177</t>
  </si>
  <si>
    <t>ORD-0178</t>
  </si>
  <si>
    <t>ORD-0179</t>
  </si>
  <si>
    <t>Pooja Patel</t>
  </si>
  <si>
    <t>ORD-0180</t>
  </si>
  <si>
    <t>ORD-0181</t>
  </si>
  <si>
    <t>ORD-0182</t>
  </si>
  <si>
    <t>ORD-0183</t>
  </si>
  <si>
    <t>ORD-0184</t>
  </si>
  <si>
    <t>Sunita Dubey</t>
  </si>
  <si>
    <t>ORD-0185</t>
  </si>
  <si>
    <t>ORD-0186</t>
  </si>
  <si>
    <t>Priya Kumar</t>
  </si>
  <si>
    <t>ORD-0187</t>
  </si>
  <si>
    <t>Swati Shah</t>
  </si>
  <si>
    <t>ORD-0188</t>
  </si>
  <si>
    <t>ORD-0189</t>
  </si>
  <si>
    <t>ORD-0190</t>
  </si>
  <si>
    <t>ORD-0191</t>
  </si>
  <si>
    <t>Anjali Tiwari</t>
  </si>
  <si>
    <t>ORD-0192</t>
  </si>
  <si>
    <t>Priya Patel</t>
  </si>
  <si>
    <t>ORD-0193</t>
  </si>
  <si>
    <t>Nisha Agarwal</t>
  </si>
  <si>
    <t>ORD-0194</t>
  </si>
  <si>
    <t>ORD-0195</t>
  </si>
  <si>
    <t>ORD-0196</t>
  </si>
  <si>
    <t>Nikhil Nair</t>
  </si>
  <si>
    <t>ORD-0197</t>
  </si>
  <si>
    <t>Rekha Singh</t>
  </si>
  <si>
    <t>ORD-0198</t>
  </si>
  <si>
    <t>Arjun Agarwal</t>
  </si>
  <si>
    <t>ORD-0199</t>
  </si>
  <si>
    <t>Anjali Dubey</t>
  </si>
  <si>
    <t>ORD-0200</t>
  </si>
  <si>
    <t>ORD-0201</t>
  </si>
  <si>
    <t>Rekha Verma</t>
  </si>
  <si>
    <t>ORD-0202</t>
  </si>
  <si>
    <t>Sanjay Shah</t>
  </si>
  <si>
    <t>ORD-0203</t>
  </si>
  <si>
    <t>ORD-0204</t>
  </si>
  <si>
    <t>Deepa Joshi</t>
  </si>
  <si>
    <t>ORD-0205</t>
  </si>
  <si>
    <t>Nisha Verma</t>
  </si>
  <si>
    <t>ORD-0206</t>
  </si>
  <si>
    <t>Nisha Joshi</t>
  </si>
  <si>
    <t>ORD-0207</t>
  </si>
  <si>
    <t>ORD-0208</t>
  </si>
  <si>
    <t>Nikhil Kumar</t>
  </si>
  <si>
    <t>ORD-0209</t>
  </si>
  <si>
    <t>Nisha Gupta</t>
  </si>
  <si>
    <t>ORD-0210</t>
  </si>
  <si>
    <t>ORD-0211</t>
  </si>
  <si>
    <t>ORD-0212</t>
  </si>
  <si>
    <t>Manish Shah</t>
  </si>
  <si>
    <t>ORD-0213</t>
  </si>
  <si>
    <t>Rohit Rao</t>
  </si>
  <si>
    <t>ORD-0214</t>
  </si>
  <si>
    <t>ORD-0215</t>
  </si>
  <si>
    <t>ORD-0216</t>
  </si>
  <si>
    <t>ORD-0217</t>
  </si>
  <si>
    <t>Meera Dubey</t>
  </si>
  <si>
    <t>ORD-0218</t>
  </si>
  <si>
    <t>ORD-0219</t>
  </si>
  <si>
    <t>ORD-0220</t>
  </si>
  <si>
    <t>Rekha Tiwari</t>
  </si>
  <si>
    <t>ORD-0221</t>
  </si>
  <si>
    <t>ORD-0222</t>
  </si>
  <si>
    <t>ORD-0223</t>
  </si>
  <si>
    <t>ORD-0224</t>
  </si>
  <si>
    <t>Vikram Mehta</t>
  </si>
  <si>
    <t>ORD-0225</t>
  </si>
  <si>
    <t>Priya Tiwari</t>
  </si>
  <si>
    <t>ORD-0226</t>
  </si>
  <si>
    <t>Anjali Shah</t>
  </si>
  <si>
    <t>ORD-0227</t>
  </si>
  <si>
    <t>ORD-0228</t>
  </si>
  <si>
    <t>Suresh Kumar</t>
  </si>
  <si>
    <t>ORD-0229</t>
  </si>
  <si>
    <t>ORD-0230</t>
  </si>
  <si>
    <t>ORD-0231</t>
  </si>
  <si>
    <t>ORD-0232</t>
  </si>
  <si>
    <t>Vikram Sharma</t>
  </si>
  <si>
    <t>ORD-0233</t>
  </si>
  <si>
    <t>ORD-0234</t>
  </si>
  <si>
    <t>Priya Nair</t>
  </si>
  <si>
    <t>ORD-0235</t>
  </si>
  <si>
    <t>ORD-0236</t>
  </si>
  <si>
    <t>ORD-0237</t>
  </si>
  <si>
    <t>ORD-0238</t>
  </si>
  <si>
    <t>Rohit Gupta</t>
  </si>
  <si>
    <t>ORD-0239</t>
  </si>
  <si>
    <t>Sunita Gupta</t>
  </si>
  <si>
    <t>ORD-0240</t>
  </si>
  <si>
    <t>Suresh Joshi</t>
  </si>
  <si>
    <t>ORD-0241</t>
  </si>
  <si>
    <t>ORD-0242</t>
  </si>
  <si>
    <t>ORD-0243</t>
  </si>
  <si>
    <t>Vikram Shah</t>
  </si>
  <si>
    <t>ORD-0244</t>
  </si>
  <si>
    <t>ORD-0245</t>
  </si>
  <si>
    <t>Vijay Patel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</si>
  <si>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</si>
  <si>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</si>
  <si>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</si>
  <si>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</si>
  <si>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</si>
  <si>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</si>
  <si>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</si>
  <si>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</si>
  <si>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Sunita Sharma</t>
  </si>
  <si>
    <t>ORD-0254</t>
  </si>
  <si>
    <t>ORD-0255</t>
  </si>
  <si>
    <t>Priya Gupta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</si>
  <si>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</si>
  <si>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</si>
  <si>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</si>
  <si>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</si>
  <si>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</si>
  <si>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</si>
  <si>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</si>
  <si>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</si>
  <si>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</si>
  <si>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Nikhil Shah</t>
  </si>
  <si>
    <t>ORD-0265</t>
  </si>
  <si>
    <t>ORD-0266</t>
  </si>
  <si>
    <t>Deepa Tiwari</t>
  </si>
  <si>
    <t>ORD-0267</t>
  </si>
  <si>
    <t>ORD-0268</t>
  </si>
  <si>
    <t>ORD-0269</t>
  </si>
  <si>
    <t>Swati Agarwal</t>
  </si>
  <si>
    <t>ORD-0270</t>
  </si>
  <si>
    <t>Deepa Patel</t>
  </si>
  <si>
    <t>ORD-0271</t>
  </si>
  <si>
    <t>Nisha Nair</t>
  </si>
  <si>
    <t>ORD-0272</t>
  </si>
  <si>
    <t>Manish Tiwari</t>
  </si>
  <si>
    <t>ORD-0273</t>
  </si>
  <si>
    <t>ORD-0274</t>
  </si>
  <si>
    <t>Nikhil Patel</t>
  </si>
  <si>
    <t>ORD-0275</t>
  </si>
  <si>
    <t>ORD-0276</t>
  </si>
  <si>
    <t>ORD-0277</t>
  </si>
  <si>
    <t>Deepa Singh</t>
  </si>
  <si>
    <t>ORD-0278</t>
  </si>
  <si>
    <t>Swati Rao</t>
  </si>
  <si>
    <t>ORD-0279</t>
  </si>
  <si>
    <t>ORD-0280</t>
  </si>
  <si>
    <t>Nikhil Dubey</t>
  </si>
  <si>
    <t>ORD-0281</t>
  </si>
  <si>
    <t>Amit Joshi</t>
  </si>
  <si>
    <t>ORD-0282</t>
  </si>
  <si>
    <t>ORD-0283</t>
  </si>
  <si>
    <t>ORD-0284</t>
  </si>
  <si>
    <t>ORD-0285</t>
  </si>
  <si>
    <t>ORD-0286</t>
  </si>
  <si>
    <t>ORD-0287</t>
  </si>
  <si>
    <t>ORD-0288</t>
  </si>
  <si>
    <t>Rekha Gupta</t>
  </si>
  <si>
    <t>ORD-0289</t>
  </si>
  <si>
    <t>Suresh Singh</t>
  </si>
  <si>
    <t>ORD-0290</t>
  </si>
  <si>
    <t>Arjun Mishra</t>
  </si>
  <si>
    <t>ORD-0291</t>
  </si>
  <si>
    <t>ORD-0292</t>
  </si>
  <si>
    <t>ORD-0293</t>
  </si>
  <si>
    <t>Nikhil Joshi</t>
  </si>
  <si>
    <t>ORD-0294</t>
  </si>
  <si>
    <t>Sanjay Tiwari</t>
  </si>
  <si>
    <t>ORD-0295</t>
  </si>
  <si>
    <t>Suresh Agarwal</t>
  </si>
  <si>
    <t>ORD-0296</t>
  </si>
  <si>
    <t>Nikhil Verma</t>
  </si>
  <si>
    <t>ORD-0297</t>
  </si>
  <si>
    <t>ORD-0298</t>
  </si>
  <si>
    <t>ORD-0299</t>
  </si>
  <si>
    <t>ORD-0300</t>
  </si>
  <si>
    <t>ORD-0301</t>
  </si>
  <si>
    <t>Amit Patel</t>
  </si>
  <si>
    <t>ORD-0302</t>
  </si>
  <si>
    <t>ORD-0303</t>
  </si>
  <si>
    <t>ORD-0304</t>
  </si>
  <si>
    <t>Pooja Shah</t>
  </si>
  <si>
    <t>ORD-0305</t>
  </si>
  <si>
    <t>Rohit Shah</t>
  </si>
  <si>
    <t>ORD-0306</t>
  </si>
  <si>
    <t>Amit Rao</t>
  </si>
  <si>
    <t>ORD-0307</t>
  </si>
  <si>
    <t>ORD-0308</t>
  </si>
  <si>
    <t>ORD-0309</t>
  </si>
  <si>
    <t>Deepa Kumar</t>
  </si>
  <si>
    <t>ORD-0310</t>
  </si>
  <si>
    <t>ORD-0311</t>
  </si>
  <si>
    <t>Sanjay Rao</t>
  </si>
  <si>
    <t>ORD-0312</t>
  </si>
  <si>
    <t>Swati Verma</t>
  </si>
  <si>
    <t>ORD-0313</t>
  </si>
  <si>
    <t>ORD-0314</t>
  </si>
  <si>
    <t>ORD-0315</t>
  </si>
  <si>
    <t>ORD-0316</t>
  </si>
  <si>
    <t>ORD-0317</t>
  </si>
  <si>
    <t>ORD-0318</t>
  </si>
  <si>
    <t>Rohit Dubey</t>
  </si>
  <si>
    <t>ORD-0319</t>
  </si>
  <si>
    <t>Kavita Kumar</t>
  </si>
  <si>
    <t>ORD-0320</t>
  </si>
  <si>
    <t>Vikram Tiwari</t>
  </si>
  <si>
    <t>ORD-0321</t>
  </si>
  <si>
    <t>ORD-0322</t>
  </si>
  <si>
    <t>Meera Shah</t>
  </si>
  <si>
    <t>ORD-0323</t>
  </si>
  <si>
    <t>Nikhil Singh</t>
  </si>
  <si>
    <t>ORD-0324</t>
  </si>
  <si>
    <t>Vijay Gupta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</si>
  <si>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</si>
  <si>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</si>
  <si>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</si>
  <si>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</si>
  <si>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</si>
  <si>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</si>
  <si>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</si>
  <si>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</si>
  <si>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</si>
  <si>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</si>
  <si>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</si>
  <si>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Rohit Tiwari</t>
  </si>
  <si>
    <t>ORD-0336</t>
  </si>
  <si>
    <t>Nisha Patel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</si>
  <si>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</si>
  <si>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</si>
  <si>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</si>
  <si>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</si>
  <si>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</si>
  <si>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</si>
  <si>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</si>
  <si>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</si>
  <si>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</si>
  <si>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</si>
  <si>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Rahul Singh</t>
  </si>
  <si>
    <t>ORD-0347</t>
  </si>
  <si>
    <t>ORD-0348</t>
  </si>
  <si>
    <t>ORD-0349</t>
  </si>
  <si>
    <t>ORD-0350</t>
  </si>
  <si>
    <t>Rohit Kumar</t>
  </si>
  <si>
    <t>ORD-0351</t>
  </si>
  <si>
    <t>ORD-0352</t>
  </si>
  <si>
    <t>Rahul Joshi</t>
  </si>
  <si>
    <t>ORD-0353</t>
  </si>
  <si>
    <t>ORD-0354</t>
  </si>
  <si>
    <t>ORD-0355</t>
  </si>
  <si>
    <t>Pooja Agarwal</t>
  </si>
  <si>
    <t>ORD-0356</t>
  </si>
  <si>
    <t>Arjun Shah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</si>
  <si>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</si>
  <si>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</si>
  <si>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</si>
  <si>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</si>
  <si>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</si>
  <si>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</si>
  <si>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</si>
  <si>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</si>
  <si>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</si>
  <si>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</si>
  <si>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</si>
  <si>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</si>
  <si>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</si>
  <si>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</si>
  <si>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</si>
  <si>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</si>
  <si>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</si>
  <si>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Priya Singh</t>
  </si>
  <si>
    <t>ORD-0374</t>
  </si>
  <si>
    <t>Vikram Joshi</t>
  </si>
  <si>
    <t>ORD-0375</t>
  </si>
  <si>
    <t>ORD-0376</t>
  </si>
  <si>
    <t>ORD-0377</t>
  </si>
  <si>
    <t>ORD-0378</t>
  </si>
  <si>
    <t>ORD-0379</t>
  </si>
  <si>
    <t>ORD-0380</t>
  </si>
  <si>
    <t>ORD-0381</t>
  </si>
  <si>
    <t>Meera Kumar</t>
  </si>
  <si>
    <t>ORD-0382</t>
  </si>
  <si>
    <t>ORD-0383</t>
  </si>
  <si>
    <t>ORD-0384</t>
  </si>
  <si>
    <t>ORD-0385</t>
  </si>
  <si>
    <t>ORD-0386</t>
  </si>
  <si>
    <t>ORD-0387</t>
  </si>
  <si>
    <t>Nisha Shah</t>
  </si>
  <si>
    <t>ORD-0388</t>
  </si>
  <si>
    <t>Sunita Kumar</t>
  </si>
  <si>
    <t>ORD-0389</t>
  </si>
  <si>
    <t>ORD-0390</t>
  </si>
  <si>
    <t>Vijay Sharma</t>
  </si>
  <si>
    <t>ORD-0391</t>
  </si>
  <si>
    <t>ORD-0392</t>
  </si>
  <si>
    <t>Aspirin 75mg</t>
  </si>
  <si>
    <t>ORD-0393</t>
  </si>
  <si>
    <t>Vijay Agarwal</t>
  </si>
  <si>
    <t>ORD-0394</t>
  </si>
  <si>
    <t>ORD-0395</t>
  </si>
  <si>
    <t>ORD-0396</t>
  </si>
  <si>
    <t>ORD-0397</t>
  </si>
  <si>
    <t>ORD-0398</t>
  </si>
  <si>
    <t>ORD-0399</t>
  </si>
  <si>
    <t>Nikhil Sharma</t>
  </si>
  <si>
    <t>ORD-0400</t>
  </si>
  <si>
    <t>ORD-0401</t>
  </si>
  <si>
    <t>Arjun Kumar</t>
  </si>
  <si>
    <t>ORD-0402</t>
  </si>
  <si>
    <t>ORD-0403</t>
  </si>
  <si>
    <t>ORD-0404</t>
  </si>
  <si>
    <t>ORD-0405</t>
  </si>
  <si>
    <t>ORD-0406</t>
  </si>
  <si>
    <t>Vijay Verma</t>
  </si>
  <si>
    <t>ORD-0407</t>
  </si>
  <si>
    <t>ORD-0408</t>
  </si>
  <si>
    <t>Rahul Shah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</si>
  <si>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</si>
  <si>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</si>
  <si>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</si>
  <si>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</si>
  <si>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</si>
  <si>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</si>
  <si>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</si>
  <si>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</si>
  <si>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Anjali Kumar</t>
  </si>
  <si>
    <t>ORD-0417</t>
  </si>
  <si>
    <t>Amit Singh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</si>
  <si>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</si>
  <si>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</si>
  <si>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</si>
  <si>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</si>
  <si>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</si>
  <si>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</si>
  <si>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</si>
  <si>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</si>
  <si>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</si>
  <si>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</si>
  <si>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Vikram Singh</t>
  </si>
  <si>
    <t>ORD-0428</t>
  </si>
  <si>
    <t>ORD-0429</t>
  </si>
  <si>
    <t>ORD-0430</t>
  </si>
  <si>
    <t>Rahul Kumar</t>
  </si>
  <si>
    <t>ORD-0431</t>
  </si>
  <si>
    <t>ORD-0432</t>
  </si>
  <si>
    <t>ORD-0433</t>
  </si>
  <si>
    <t>ORD-0434</t>
  </si>
  <si>
    <t>ORD-0435</t>
  </si>
  <si>
    <t>ORD-0436</t>
  </si>
  <si>
    <t>Pooja Tiwari</t>
  </si>
  <si>
    <t>ORD-0437</t>
  </si>
  <si>
    <t>Nisha Kumar</t>
  </si>
  <si>
    <t>ORD-0438</t>
  </si>
  <si>
    <t>Nikhil Tiwari</t>
  </si>
  <si>
    <t>ORD-0439</t>
  </si>
  <si>
    <t>ORD-0440</t>
  </si>
  <si>
    <t>ORD-0441</t>
  </si>
  <si>
    <t>ORD-0442</t>
  </si>
  <si>
    <t>Arjun Verma</t>
  </si>
  <si>
    <t>ORD-0443</t>
  </si>
  <si>
    <t>Meera Agarwal</t>
  </si>
  <si>
    <t>ORD-0444</t>
  </si>
  <si>
    <t>Manish Mishra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</si>
  <si>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</si>
  <si>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</si>
  <si>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</si>
  <si>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</si>
  <si>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</si>
  <si>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</si>
  <si>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</si>
  <si>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</si>
  <si>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</si>
  <si>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</si>
  <si>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</si>
  <si>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</si>
  <si>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Kavita Shah</t>
  </si>
  <si>
    <t>ORD-0457</t>
  </si>
  <si>
    <t>Arjun Tiwari</t>
  </si>
  <si>
    <t>ORD-0458</t>
  </si>
  <si>
    <t>ORD-0459</t>
  </si>
  <si>
    <t>ORD-0460</t>
  </si>
  <si>
    <t>Rahul Mehta</t>
  </si>
  <si>
    <t>ORD-0461</t>
  </si>
  <si>
    <t>Vikram Mishra</t>
  </si>
  <si>
    <t>ORD-0462</t>
  </si>
  <si>
    <t>ORD-0463</t>
  </si>
  <si>
    <t>ORD-0464</t>
  </si>
  <si>
    <t>ORD-0465</t>
  </si>
  <si>
    <t>ORD-0466</t>
  </si>
  <si>
    <t>ORD-0467</t>
  </si>
  <si>
    <t>ORD-0468</t>
  </si>
  <si>
    <t>Amit Dubey</t>
  </si>
  <si>
    <t>ORD-0469</t>
  </si>
  <si>
    <t>ORD-0470</t>
  </si>
  <si>
    <t>ORD-0471</t>
  </si>
  <si>
    <t>ORD-0472</t>
  </si>
  <si>
    <t>ORD-0473</t>
  </si>
  <si>
    <t>ORD-0474</t>
  </si>
  <si>
    <t>Rohit Mishra</t>
  </si>
  <si>
    <t>ORD-0475</t>
  </si>
  <si>
    <t>ORD-0476</t>
  </si>
  <si>
    <t>ORD-0477</t>
  </si>
  <si>
    <t>Arjun Sharma</t>
  </si>
  <si>
    <t>ORD-0478</t>
  </si>
  <si>
    <t>ORD-0479</t>
  </si>
  <si>
    <t>ORD-0480</t>
  </si>
  <si>
    <t>ORD-0481</t>
  </si>
  <si>
    <t>Priya Sharma</t>
  </si>
  <si>
    <t>ORD-0482</t>
  </si>
  <si>
    <t>ORD-0483</t>
  </si>
  <si>
    <t>Rohit Patel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</si>
  <si>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</si>
  <si>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</si>
  <si>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</si>
  <si>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</si>
  <si>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</si>
  <si>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</si>
  <si>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</si>
  <si>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</si>
  <si>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</si>
  <si>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</si>
  <si>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</si>
  <si>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</si>
  <si>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</si>
  <si>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Arjun Patel</t>
  </si>
  <si>
    <t>ORD-0497</t>
  </si>
  <si>
    <t>ORD-0498</t>
  </si>
  <si>
    <t>ORD-0499</t>
  </si>
  <si>
    <t>ORD-0500</t>
  </si>
  <si>
    <t>Month</t>
  </si>
  <si>
    <t>Year</t>
  </si>
  <si>
    <t>Gross_Profit</t>
  </si>
  <si>
    <t>Profit_Margin_%</t>
  </si>
  <si>
    <t>💊  PHARMACY SALES DASHBOARD — SUMMARY &amp; KPIs  (2024)</t>
  </si>
  <si>
    <t>KEY METRICS</t>
  </si>
  <si>
    <t>💰 Total Sales (₹)</t>
  </si>
  <si>
    <t>📦 Total Orders</t>
  </si>
  <si>
    <t>💊 Total Qty Sold</t>
  </si>
  <si>
    <t>🧾 Avg Order Value (₹)</t>
  </si>
  <si>
    <t>📉 Total Discount Given</t>
  </si>
  <si>
    <t>✅ Avg Profit Margin</t>
  </si>
  <si>
    <t>SALES BY CATEGORY</t>
  </si>
  <si>
    <t>MONTHLY SALES TREND</t>
  </si>
  <si>
    <t>PAYMENT MODE SPLIT</t>
  </si>
  <si>
    <t>Total Sales (₹)</t>
  </si>
  <si>
    <t>Total Orders</t>
  </si>
  <si>
    <t>Avg Order (₹)</t>
  </si>
  <si>
    <t>Qty Sold</t>
  </si>
  <si>
    <t>Orders</t>
  </si>
  <si>
    <t>Payment Mode</t>
  </si>
  <si>
    <t>% Share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</si>
  <si>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</si>
  <si>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</si>
  <si>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</si>
  <si>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</si>
  <si>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</si>
  <si>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</si>
  <si>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</si>
  <si>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</si>
  <si>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</si>
  <si>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</si>
  <si>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</si>
  <si>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</si>
  <si>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CITY-WISE SALES PERFORMANCE</t>
  </si>
  <si>
    <t>PRESCRIPTION vs NON-PRESCRIPTION</t>
  </si>
  <si>
    <t>Type</t>
  </si>
  <si>
    <t>Non-Prescription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</si>
</sst>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\-mmm\-yyyy"/>
    <numFmt numFmtId="165" formatCode="\₹#,##0.00"/>
    <numFmt numFmtId="166" formatCode="0\%"/>
    <numFmt numFmtId="167" formatCode="0.0%"/>
    <numFmt numFmtId="168" formatCode="\₹#,##0"/>
  </numFmts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color rgb="FF2C3E50"/>
      <name val="Arial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14"/>
      <color rgb="FF1A5276"/>
      <name val="Arial"/>
      <charset val="1"/>
    </font>
    <font>
      <b/>
      <sz val="9"/>
      <color rgb="FF2C3E5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A5276"/>
        <bgColor rgb="FF2C3E50"/>
      </patternFill>
    </fill>
    <fill>
      <patternFill patternType="solid">
        <fgColor rgb="FFD5F5E3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1E8449"/>
        <bgColor rgb="FF008080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center" vertical="center" wrapText="1"/>
    </xf>
    <xf numFmtId="166" fontId="2" fillId="4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67" fontId="2" fillId="3" borderId="1" xfId="0" applyNumberFormat="1" applyFont="1" applyFill="1" applyBorder="1" applyAlignment="1">
      <alignment horizontal="center" vertical="center" wrapText="1"/>
    </xf>
    <xf numFmtId="167" fontId="2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8" fontId="6" fillId="3" borderId="1" xfId="0" applyNumberFormat="1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167" fontId="6" fillId="3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/>
    <xf numFmtId="168" fontId="2" fillId="4" borderId="1" xfId="0" applyNumberFormat="1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168" fontId="2" fillId="3" borderId="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164" fontId="2" fillId="4" borderId="3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 wrapText="1"/>
    </xf>
    <xf numFmtId="165" fontId="2" fillId="4" borderId="3" xfId="0" applyNumberFormat="1" applyFont="1" applyFill="1" applyBorder="1" applyAlignment="1">
      <alignment horizontal="center" vertical="center" wrapText="1"/>
    </xf>
    <xf numFmtId="166" fontId="2" fillId="4" borderId="3" xfId="0" applyNumberFormat="1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C3E50"/>
        <name val="Arial"/>
        <scheme val="none"/>
      </font>
      <fill>
        <patternFill patternType="solid">
          <fgColor rgb="FFFFFFCC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C3E50"/>
        <name val="Arial"/>
        <scheme val="none"/>
      </font>
      <fill>
        <patternFill patternType="solid">
          <fgColor rgb="FFFFFFCC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C3E50"/>
        <name val="Arial"/>
        <scheme val="none"/>
      </font>
      <numFmt numFmtId="165" formatCode="\₹#,##0.00"/>
      <fill>
        <patternFill patternType="solid">
          <fgColor rgb="FFFFFFCC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C3E50"/>
        <name val="Arial"/>
        <scheme val="none"/>
      </font>
      <numFmt numFmtId="166" formatCode="0\%"/>
      <fill>
        <patternFill patternType="solid">
          <fgColor rgb="FFFFFFCC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C3E50"/>
        <name val="Arial"/>
        <scheme val="none"/>
      </font>
      <numFmt numFmtId="165" formatCode="\₹#,##0.00"/>
      <fill>
        <patternFill patternType="solid">
          <fgColor rgb="FFFFFFCC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C3E50"/>
        <name val="Arial"/>
        <scheme val="none"/>
      </font>
      <numFmt numFmtId="165" formatCode="\₹#,##0.00"/>
      <fill>
        <patternFill patternType="solid">
          <fgColor rgb="FFFFFFCC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C3E50"/>
        <name val="Arial"/>
        <scheme val="none"/>
      </font>
      <numFmt numFmtId="165" formatCode="\₹#,##0.00"/>
      <fill>
        <patternFill patternType="solid">
          <fgColor rgb="FFFFFFCC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C3E50"/>
        <name val="Arial"/>
        <scheme val="none"/>
      </font>
      <fill>
        <patternFill patternType="solid">
          <fgColor rgb="FFFFFFCC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C3E50"/>
        <name val="Arial"/>
        <scheme val="none"/>
      </font>
      <fill>
        <patternFill patternType="solid">
          <fgColor rgb="FFFFFFCC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C3E50"/>
        <name val="Arial"/>
        <scheme val="none"/>
      </font>
      <fill>
        <patternFill patternType="solid">
          <fgColor rgb="FFFFFFCC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C3E50"/>
        <name val="Arial"/>
        <scheme val="none"/>
      </font>
      <fill>
        <patternFill patternType="solid">
          <fgColor rgb="FFFFFFCC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C3E50"/>
        <name val="Arial"/>
        <scheme val="none"/>
      </font>
      <fill>
        <patternFill patternType="solid">
          <fgColor rgb="FFFFFFCC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C3E50"/>
        <name val="Arial"/>
        <scheme val="none"/>
      </font>
      <numFmt numFmtId="164" formatCode="dd\-mmm\-yyyy"/>
      <fill>
        <patternFill patternType="solid">
          <fgColor rgb="FFFFFFCC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C3E50"/>
        <name val="Arial"/>
        <scheme val="none"/>
      </font>
      <fill>
        <patternFill patternType="solid">
          <fgColor rgb="FFFFFFCC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C3E50"/>
        <name val="Arial"/>
        <scheme val="none"/>
      </font>
      <fill>
        <patternFill patternType="solid">
          <fgColor rgb="FFFFFFCC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2C3E50"/>
          <bgColor rgb="FF1A527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5276"/>
      <rgbColor rgb="FF1E8449"/>
      <rgbColor rgb="FF003300"/>
      <rgbColor rgb="FF333300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N501" totalsRowShown="0" headerRowDxfId="18" dataDxfId="16" headerRowBorderDxfId="17" tableBorderDxfId="15" totalsRowBorderDxfId="14">
  <autoFilter ref="A1:N501"/>
  <tableColumns count="14">
    <tableColumn id="1" name="Order_ID" dataDxfId="13"/>
    <tableColumn id="2" name="Date" dataDxfId="12"/>
    <tableColumn id="3" name="Customer_Name" dataDxfId="11"/>
    <tableColumn id="4" name="City" dataDxfId="10"/>
    <tableColumn id="5" name="Medicine_Name" dataDxfId="9"/>
    <tableColumn id="6" name="Category" dataDxfId="8"/>
    <tableColumn id="7" name="Quantity" dataDxfId="7"/>
    <tableColumn id="8" name="Unit_Price" dataDxfId="6"/>
    <tableColumn id="9" name="Cost_Price" dataDxfId="5"/>
    <tableColumn id="10" name="Total_Sales" dataDxfId="4"/>
    <tableColumn id="11" name="Discount_%" dataDxfId="3"/>
    <tableColumn id="12" name="Final_Amount" dataDxfId="2"/>
    <tableColumn id="13" name="Payment_Mode" dataDxfId="1"/>
    <tableColumn id="14" name="Pr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1"/>
  <sheetViews>
    <sheetView showGridLines="0" tabSelected="1" zoomScaleNormal="100" workbookViewId="0">
      <pane ySplit="1" topLeftCell="A2" activePane="bottomLeft" state="frozen"/>
      <selection pane="bottomLeft" activeCell="H13" sqref="H13"/>
    </sheetView>
  </sheetViews>
  <sheetFormatPr defaultColWidth="8.7109375" defaultRowHeight="15" x14ac:dyDescent="0.25"/>
  <cols>
    <col min="1" max="2" width="12" customWidth="1"/>
    <col min="3" max="3" width="22" customWidth="1"/>
    <col min="4" max="4" width="14" customWidth="1"/>
    <col min="5" max="5" width="24" customWidth="1"/>
    <col min="6" max="6" width="12" customWidth="1"/>
    <col min="7" max="7" width="10.7109375" customWidth="1"/>
    <col min="8" max="8" width="12.42578125" customWidth="1"/>
    <col min="9" max="9" width="12.7109375" customWidth="1"/>
    <col min="10" max="10" width="13.7109375" customWidth="1"/>
    <col min="11" max="11" width="13.28515625" customWidth="1"/>
    <col min="12" max="12" width="15.7109375" customWidth="1"/>
    <col min="13" max="13" width="17.140625" customWidth="1"/>
    <col min="14" max="14" width="14" customWidth="1"/>
  </cols>
  <sheetData>
    <row r="1" spans="1:14" ht="27.75" customHeight="1" x14ac:dyDescent="0.25">
      <c r="A1" s="33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5" t="s">
        <v>13</v>
      </c>
    </row>
    <row r="2" spans="1:14" x14ac:dyDescent="0.25">
      <c r="A2" s="29" t="s">
        <v>14</v>
      </c>
      <c r="B2" s="3">
        <v>45619</v>
      </c>
      <c r="C2" s="4" t="s">
        <v>15</v>
      </c>
      <c r="D2" s="2" t="s">
        <v>16</v>
      </c>
      <c r="E2" s="4" t="s">
        <v>17</v>
      </c>
      <c r="F2" s="2" t="s">
        <v>18</v>
      </c>
      <c r="G2" s="2">
        <v>8</v>
      </c>
      <c r="H2" s="5">
        <v>20</v>
      </c>
      <c r="I2" s="5">
        <v>10.4</v>
      </c>
      <c r="J2" s="5">
        <v>160</v>
      </c>
      <c r="K2" s="6">
        <v>5</v>
      </c>
      <c r="L2" s="5">
        <v>152</v>
      </c>
      <c r="M2" s="2" t="s">
        <v>19</v>
      </c>
      <c r="N2" s="31" t="s">
        <v>20</v>
      </c>
    </row>
    <row r="3" spans="1:14" x14ac:dyDescent="0.25">
      <c r="A3" s="30" t="s">
        <v>21</v>
      </c>
      <c r="B3" s="8">
        <v>45594</v>
      </c>
      <c r="C3" s="9" t="s">
        <v>22</v>
      </c>
      <c r="D3" s="7" t="s">
        <v>23</v>
      </c>
      <c r="E3" s="9" t="s">
        <v>24</v>
      </c>
      <c r="F3" s="7" t="s">
        <v>25</v>
      </c>
      <c r="G3" s="7">
        <v>3</v>
      </c>
      <c r="H3" s="10">
        <v>40</v>
      </c>
      <c r="I3" s="10">
        <v>20</v>
      </c>
      <c r="J3" s="10">
        <v>120</v>
      </c>
      <c r="K3" s="11">
        <v>5</v>
      </c>
      <c r="L3" s="10">
        <v>114</v>
      </c>
      <c r="M3" s="7" t="s">
        <v>26</v>
      </c>
      <c r="N3" s="32" t="s">
        <v>20</v>
      </c>
    </row>
    <row r="4" spans="1:14" x14ac:dyDescent="0.25">
      <c r="A4" s="29" t="s">
        <v>27</v>
      </c>
      <c r="B4" s="3">
        <v>45624</v>
      </c>
      <c r="C4" s="4" t="s">
        <v>28</v>
      </c>
      <c r="D4" s="2" t="s">
        <v>29</v>
      </c>
      <c r="E4" s="4" t="s">
        <v>30</v>
      </c>
      <c r="F4" s="2" t="s">
        <v>31</v>
      </c>
      <c r="G4" s="2">
        <v>8</v>
      </c>
      <c r="H4" s="5">
        <v>72</v>
      </c>
      <c r="I4" s="5">
        <v>33.840000000000003</v>
      </c>
      <c r="J4" s="5">
        <v>576</v>
      </c>
      <c r="K4" s="6">
        <v>15</v>
      </c>
      <c r="L4" s="5">
        <v>489.6</v>
      </c>
      <c r="M4" s="2" t="s">
        <v>26</v>
      </c>
      <c r="N4" s="31" t="s">
        <v>32</v>
      </c>
    </row>
    <row r="5" spans="1:14" x14ac:dyDescent="0.25">
      <c r="A5" s="30" t="s">
        <v>33</v>
      </c>
      <c r="B5" s="8">
        <v>45373</v>
      </c>
      <c r="C5" s="9" t="s">
        <v>34</v>
      </c>
      <c r="D5" s="7" t="s">
        <v>35</v>
      </c>
      <c r="E5" s="9" t="s">
        <v>36</v>
      </c>
      <c r="F5" s="7" t="s">
        <v>31</v>
      </c>
      <c r="G5" s="7">
        <v>9</v>
      </c>
      <c r="H5" s="10">
        <v>65</v>
      </c>
      <c r="I5" s="10">
        <v>30.55</v>
      </c>
      <c r="J5" s="10">
        <v>585</v>
      </c>
      <c r="K5" s="11">
        <v>0</v>
      </c>
      <c r="L5" s="10">
        <v>585</v>
      </c>
      <c r="M5" s="7" t="s">
        <v>26</v>
      </c>
      <c r="N5" s="32" t="s">
        <v>20</v>
      </c>
    </row>
    <row r="6" spans="1:14" x14ac:dyDescent="0.25">
      <c r="A6" s="29" t="s">
        <v>37</v>
      </c>
      <c r="B6" s="3">
        <v>45486</v>
      </c>
      <c r="C6" s="4" t="s">
        <v>15</v>
      </c>
      <c r="D6" s="2" t="s">
        <v>35</v>
      </c>
      <c r="E6" s="4" t="s">
        <v>38</v>
      </c>
      <c r="F6" s="2" t="s">
        <v>18</v>
      </c>
      <c r="G6" s="2">
        <v>20</v>
      </c>
      <c r="H6" s="5">
        <v>30</v>
      </c>
      <c r="I6" s="5">
        <v>15.6</v>
      </c>
      <c r="J6" s="5">
        <v>600</v>
      </c>
      <c r="K6" s="6">
        <v>5</v>
      </c>
      <c r="L6" s="5">
        <v>570</v>
      </c>
      <c r="M6" s="2" t="s">
        <v>26</v>
      </c>
      <c r="N6" s="31" t="s">
        <v>32</v>
      </c>
    </row>
    <row r="7" spans="1:14" x14ac:dyDescent="0.25">
      <c r="A7" s="30" t="s">
        <v>39</v>
      </c>
      <c r="B7" s="8">
        <v>45485</v>
      </c>
      <c r="C7" s="9" t="s">
        <v>40</v>
      </c>
      <c r="D7" s="7" t="s">
        <v>16</v>
      </c>
      <c r="E7" s="9" t="s">
        <v>41</v>
      </c>
      <c r="F7" s="7" t="s">
        <v>18</v>
      </c>
      <c r="G7" s="7">
        <v>20</v>
      </c>
      <c r="H7" s="10">
        <v>150</v>
      </c>
      <c r="I7" s="10">
        <v>78</v>
      </c>
      <c r="J7" s="10">
        <v>3000</v>
      </c>
      <c r="K7" s="11">
        <v>10</v>
      </c>
      <c r="L7" s="10">
        <v>2700</v>
      </c>
      <c r="M7" s="7" t="s">
        <v>26</v>
      </c>
      <c r="N7" s="32" t="s">
        <v>20</v>
      </c>
    </row>
    <row r="8" spans="1:14" x14ac:dyDescent="0.25">
      <c r="A8" s="29" t="s">
        <v>42</v>
      </c>
      <c r="B8" s="3">
        <v>45408</v>
      </c>
      <c r="C8" s="4" t="s">
        <v>43</v>
      </c>
      <c r="D8" s="2" t="s">
        <v>44</v>
      </c>
      <c r="E8" s="4" t="s">
        <v>45</v>
      </c>
      <c r="F8" s="2" t="s">
        <v>46</v>
      </c>
      <c r="G8" s="2">
        <v>8</v>
      </c>
      <c r="H8" s="5">
        <v>450</v>
      </c>
      <c r="I8" s="5">
        <v>247.5</v>
      </c>
      <c r="J8" s="5">
        <v>3600</v>
      </c>
      <c r="K8" s="6">
        <v>0</v>
      </c>
      <c r="L8" s="5">
        <v>3600</v>
      </c>
      <c r="M8" s="2" t="s">
        <v>47</v>
      </c>
      <c r="N8" s="31" t="s">
        <v>32</v>
      </c>
    </row>
    <row r="9" spans="1:14" x14ac:dyDescent="0.25">
      <c r="A9" s="30" t="s">
        <v>48</v>
      </c>
      <c r="B9" s="8">
        <v>45481</v>
      </c>
      <c r="C9" s="9" t="s">
        <v>49</v>
      </c>
      <c r="D9" s="7" t="s">
        <v>16</v>
      </c>
      <c r="E9" s="9" t="s">
        <v>50</v>
      </c>
      <c r="F9" s="7" t="s">
        <v>51</v>
      </c>
      <c r="G9" s="7">
        <v>3</v>
      </c>
      <c r="H9" s="10">
        <v>120</v>
      </c>
      <c r="I9" s="10">
        <v>72</v>
      </c>
      <c r="J9" s="10">
        <v>360</v>
      </c>
      <c r="K9" s="11">
        <v>0</v>
      </c>
      <c r="L9" s="10">
        <v>360</v>
      </c>
      <c r="M9" s="7" t="s">
        <v>19</v>
      </c>
      <c r="N9" s="32" t="s">
        <v>20</v>
      </c>
    </row>
    <row r="10" spans="1:14" x14ac:dyDescent="0.25">
      <c r="A10" s="29" t="s">
        <v>52</v>
      </c>
      <c r="B10" s="3">
        <v>45430</v>
      </c>
      <c r="C10" s="4" t="s">
        <v>53</v>
      </c>
      <c r="D10" s="2" t="s">
        <v>54</v>
      </c>
      <c r="E10" s="4" t="s">
        <v>30</v>
      </c>
      <c r="F10" s="2" t="s">
        <v>31</v>
      </c>
      <c r="G10" s="2">
        <v>8</v>
      </c>
      <c r="H10" s="5">
        <v>72</v>
      </c>
      <c r="I10" s="5">
        <v>33.840000000000003</v>
      </c>
      <c r="J10" s="5">
        <v>576</v>
      </c>
      <c r="K10" s="6">
        <v>10</v>
      </c>
      <c r="L10" s="5">
        <v>518.4</v>
      </c>
      <c r="M10" s="2" t="s">
        <v>26</v>
      </c>
      <c r="N10" s="31" t="s">
        <v>32</v>
      </c>
    </row>
    <row r="11" spans="1:14" x14ac:dyDescent="0.25">
      <c r="A11" s="30" t="s">
        <v>55</v>
      </c>
      <c r="B11" s="8">
        <v>45308</v>
      </c>
      <c r="C11" s="9" t="s">
        <v>56</v>
      </c>
      <c r="D11" s="7" t="s">
        <v>29</v>
      </c>
      <c r="E11" s="9" t="s">
        <v>45</v>
      </c>
      <c r="F11" s="7" t="s">
        <v>46</v>
      </c>
      <c r="G11" s="7">
        <v>9</v>
      </c>
      <c r="H11" s="10">
        <v>450</v>
      </c>
      <c r="I11" s="10">
        <v>247.5</v>
      </c>
      <c r="J11" s="10">
        <v>4050</v>
      </c>
      <c r="K11" s="11">
        <v>0</v>
      </c>
      <c r="L11" s="10">
        <v>4050</v>
      </c>
      <c r="M11" s="7" t="s">
        <v>26</v>
      </c>
      <c r="N11" s="32" t="s">
        <v>32</v>
      </c>
    </row>
    <row r="12" spans="1:14" x14ac:dyDescent="0.25">
      <c r="A12" s="29" t="s">
        <v>57</v>
      </c>
      <c r="B12" s="3">
        <v>45627</v>
      </c>
      <c r="C12" s="4" t="s">
        <v>58</v>
      </c>
      <c r="D12" s="2" t="s">
        <v>59</v>
      </c>
      <c r="E12" s="4" t="s">
        <v>60</v>
      </c>
      <c r="F12" s="2" t="s">
        <v>25</v>
      </c>
      <c r="G12" s="2">
        <v>5</v>
      </c>
      <c r="H12" s="5">
        <v>55</v>
      </c>
      <c r="I12" s="5">
        <v>27.5</v>
      </c>
      <c r="J12" s="5">
        <v>275</v>
      </c>
      <c r="K12" s="6">
        <v>5</v>
      </c>
      <c r="L12" s="5">
        <v>261.25</v>
      </c>
      <c r="M12" s="2" t="s">
        <v>26</v>
      </c>
      <c r="N12" s="31" t="s">
        <v>20</v>
      </c>
    </row>
    <row r="13" spans="1:14" x14ac:dyDescent="0.25">
      <c r="A13" s="30" t="s">
        <v>61</v>
      </c>
      <c r="B13" s="8">
        <v>45591</v>
      </c>
      <c r="C13" s="9" t="s">
        <v>62</v>
      </c>
      <c r="D13" s="7" t="s">
        <v>35</v>
      </c>
      <c r="E13" s="9" t="s">
        <v>60</v>
      </c>
      <c r="F13" s="7" t="s">
        <v>25</v>
      </c>
      <c r="G13" s="7">
        <v>8</v>
      </c>
      <c r="H13" s="10">
        <v>55</v>
      </c>
      <c r="I13" s="10">
        <v>27.5</v>
      </c>
      <c r="J13" s="10">
        <v>440</v>
      </c>
      <c r="K13" s="11">
        <v>0</v>
      </c>
      <c r="L13" s="10">
        <v>440</v>
      </c>
      <c r="M13" s="7" t="s">
        <v>19</v>
      </c>
      <c r="N13" s="32" t="s">
        <v>20</v>
      </c>
    </row>
    <row r="14" spans="1:14" x14ac:dyDescent="0.25">
      <c r="A14" s="29" t="s">
        <v>63</v>
      </c>
      <c r="B14" s="3">
        <v>45348</v>
      </c>
      <c r="C14" s="4" t="s">
        <v>64</v>
      </c>
      <c r="D14" s="2" t="s">
        <v>29</v>
      </c>
      <c r="E14" s="4" t="s">
        <v>65</v>
      </c>
      <c r="F14" s="2" t="s">
        <v>66</v>
      </c>
      <c r="G14" s="2">
        <v>20</v>
      </c>
      <c r="H14" s="5">
        <v>65</v>
      </c>
      <c r="I14" s="5">
        <v>31.2</v>
      </c>
      <c r="J14" s="5">
        <v>1300</v>
      </c>
      <c r="K14" s="6">
        <v>0</v>
      </c>
      <c r="L14" s="5">
        <v>1300</v>
      </c>
      <c r="M14" s="2" t="s">
        <v>47</v>
      </c>
      <c r="N14" s="31" t="s">
        <v>32</v>
      </c>
    </row>
    <row r="15" spans="1:14" x14ac:dyDescent="0.25">
      <c r="A15" s="30" t="s">
        <v>67</v>
      </c>
      <c r="B15" s="8">
        <v>45420</v>
      </c>
      <c r="C15" s="9" t="s">
        <v>68</v>
      </c>
      <c r="D15" s="7" t="s">
        <v>44</v>
      </c>
      <c r="E15" s="9" t="s">
        <v>69</v>
      </c>
      <c r="F15" s="7" t="s">
        <v>70</v>
      </c>
      <c r="G15" s="7">
        <v>18</v>
      </c>
      <c r="H15" s="10">
        <v>95</v>
      </c>
      <c r="I15" s="10">
        <v>42.75</v>
      </c>
      <c r="J15" s="10">
        <v>1710</v>
      </c>
      <c r="K15" s="11">
        <v>5</v>
      </c>
      <c r="L15" s="10">
        <v>1624.5</v>
      </c>
      <c r="M15" s="7" t="s">
        <v>47</v>
      </c>
      <c r="N15" s="32" t="s">
        <v>32</v>
      </c>
    </row>
    <row r="16" spans="1:14" x14ac:dyDescent="0.25">
      <c r="A16" s="29" t="s">
        <v>71</v>
      </c>
      <c r="B16" s="3">
        <v>45372</v>
      </c>
      <c r="C16" s="4" t="s">
        <v>72</v>
      </c>
      <c r="D16" s="2" t="s">
        <v>16</v>
      </c>
      <c r="E16" s="4" t="s">
        <v>24</v>
      </c>
      <c r="F16" s="2" t="s">
        <v>25</v>
      </c>
      <c r="G16" s="2">
        <v>17</v>
      </c>
      <c r="H16" s="5">
        <v>40</v>
      </c>
      <c r="I16" s="5">
        <v>20</v>
      </c>
      <c r="J16" s="5">
        <v>680</v>
      </c>
      <c r="K16" s="6">
        <v>0</v>
      </c>
      <c r="L16" s="5">
        <v>680</v>
      </c>
      <c r="M16" s="2" t="s">
        <v>19</v>
      </c>
      <c r="N16" s="31" t="s">
        <v>20</v>
      </c>
    </row>
    <row r="17" spans="1:14" x14ac:dyDescent="0.25">
      <c r="A17" s="30" t="s">
        <v>73</v>
      </c>
      <c r="B17" s="8">
        <v>45619</v>
      </c>
      <c r="C17" s="9" t="s">
        <v>74</v>
      </c>
      <c r="D17" s="7" t="s">
        <v>75</v>
      </c>
      <c r="E17" s="9" t="s">
        <v>76</v>
      </c>
      <c r="F17" s="7" t="s">
        <v>70</v>
      </c>
      <c r="G17" s="7">
        <v>5</v>
      </c>
      <c r="H17" s="10">
        <v>110</v>
      </c>
      <c r="I17" s="10">
        <v>49.5</v>
      </c>
      <c r="J17" s="10">
        <v>550</v>
      </c>
      <c r="K17" s="11">
        <v>10</v>
      </c>
      <c r="L17" s="10">
        <v>495</v>
      </c>
      <c r="M17" s="7" t="s">
        <v>47</v>
      </c>
      <c r="N17" s="32" t="s">
        <v>32</v>
      </c>
    </row>
    <row r="18" spans="1:14" x14ac:dyDescent="0.25">
      <c r="A18" s="29" t="s">
        <v>77</v>
      </c>
      <c r="B18" s="3">
        <v>45292</v>
      </c>
      <c r="C18" s="4" t="s">
        <v>78</v>
      </c>
      <c r="D18" s="2" t="s">
        <v>59</v>
      </c>
      <c r="E18" s="4" t="s">
        <v>79</v>
      </c>
      <c r="F18" s="2" t="s">
        <v>70</v>
      </c>
      <c r="G18" s="2">
        <v>1</v>
      </c>
      <c r="H18" s="5">
        <v>70</v>
      </c>
      <c r="I18" s="5">
        <v>31.5</v>
      </c>
      <c r="J18" s="5">
        <v>70</v>
      </c>
      <c r="K18" s="6">
        <v>0</v>
      </c>
      <c r="L18" s="5">
        <v>70</v>
      </c>
      <c r="M18" s="2" t="s">
        <v>26</v>
      </c>
      <c r="N18" s="31" t="s">
        <v>32</v>
      </c>
    </row>
    <row r="19" spans="1:14" x14ac:dyDescent="0.25">
      <c r="A19" s="30" t="s">
        <v>80</v>
      </c>
      <c r="B19" s="8">
        <v>45321</v>
      </c>
      <c r="C19" s="9" t="s">
        <v>81</v>
      </c>
      <c r="D19" s="7" t="s">
        <v>44</v>
      </c>
      <c r="E19" s="9" t="s">
        <v>82</v>
      </c>
      <c r="F19" s="7" t="s">
        <v>66</v>
      </c>
      <c r="G19" s="7">
        <v>3</v>
      </c>
      <c r="H19" s="10">
        <v>80</v>
      </c>
      <c r="I19" s="10">
        <v>38.4</v>
      </c>
      <c r="J19" s="10">
        <v>240</v>
      </c>
      <c r="K19" s="11">
        <v>15</v>
      </c>
      <c r="L19" s="10">
        <v>204</v>
      </c>
      <c r="M19" s="7" t="s">
        <v>26</v>
      </c>
      <c r="N19" s="32" t="s">
        <v>32</v>
      </c>
    </row>
    <row r="20" spans="1:14" x14ac:dyDescent="0.25">
      <c r="A20" s="29" t="s">
        <v>83</v>
      </c>
      <c r="B20" s="3">
        <v>45356</v>
      </c>
      <c r="C20" s="4" t="s">
        <v>84</v>
      </c>
      <c r="D20" s="2" t="s">
        <v>54</v>
      </c>
      <c r="E20" s="4" t="s">
        <v>85</v>
      </c>
      <c r="F20" s="2" t="s">
        <v>66</v>
      </c>
      <c r="G20" s="2">
        <v>6</v>
      </c>
      <c r="H20" s="5">
        <v>55</v>
      </c>
      <c r="I20" s="5">
        <v>26.4</v>
      </c>
      <c r="J20" s="5">
        <v>330</v>
      </c>
      <c r="K20" s="6">
        <v>5</v>
      </c>
      <c r="L20" s="5">
        <v>313.5</v>
      </c>
      <c r="M20" s="2" t="s">
        <v>26</v>
      </c>
      <c r="N20" s="31" t="s">
        <v>32</v>
      </c>
    </row>
    <row r="21" spans="1:14" x14ac:dyDescent="0.25">
      <c r="A21" s="30" t="s">
        <v>86</v>
      </c>
      <c r="B21" s="8">
        <v>45568</v>
      </c>
      <c r="C21" s="9" t="s">
        <v>87</v>
      </c>
      <c r="D21" s="7" t="s">
        <v>75</v>
      </c>
      <c r="E21" s="9" t="s">
        <v>88</v>
      </c>
      <c r="F21" s="7" t="s">
        <v>46</v>
      </c>
      <c r="G21" s="7">
        <v>10</v>
      </c>
      <c r="H21" s="10">
        <v>55</v>
      </c>
      <c r="I21" s="10">
        <v>30.25</v>
      </c>
      <c r="J21" s="10">
        <v>550</v>
      </c>
      <c r="K21" s="11">
        <v>10</v>
      </c>
      <c r="L21" s="10">
        <v>495</v>
      </c>
      <c r="M21" s="7" t="s">
        <v>26</v>
      </c>
      <c r="N21" s="32" t="s">
        <v>32</v>
      </c>
    </row>
    <row r="22" spans="1:14" x14ac:dyDescent="0.25">
      <c r="A22" s="29" t="s">
        <v>89</v>
      </c>
      <c r="B22" s="3">
        <v>45556</v>
      </c>
      <c r="C22" s="4" t="s">
        <v>90</v>
      </c>
      <c r="D22" s="2" t="s">
        <v>75</v>
      </c>
      <c r="E22" s="4" t="s">
        <v>24</v>
      </c>
      <c r="F22" s="2" t="s">
        <v>25</v>
      </c>
      <c r="G22" s="2">
        <v>8</v>
      </c>
      <c r="H22" s="5">
        <v>40</v>
      </c>
      <c r="I22" s="5">
        <v>20</v>
      </c>
      <c r="J22" s="5">
        <v>320</v>
      </c>
      <c r="K22" s="6">
        <v>0</v>
      </c>
      <c r="L22" s="5">
        <v>320</v>
      </c>
      <c r="M22" s="2" t="s">
        <v>47</v>
      </c>
      <c r="N22" s="31" t="s">
        <v>20</v>
      </c>
    </row>
    <row r="23" spans="1:14" x14ac:dyDescent="0.25">
      <c r="A23" s="30" t="s">
        <v>91</v>
      </c>
      <c r="B23" s="8">
        <v>45404</v>
      </c>
      <c r="C23" s="9" t="s">
        <v>92</v>
      </c>
      <c r="D23" s="7" t="s">
        <v>23</v>
      </c>
      <c r="E23" s="9" t="s">
        <v>93</v>
      </c>
      <c r="F23" s="7" t="s">
        <v>18</v>
      </c>
      <c r="G23" s="7">
        <v>8</v>
      </c>
      <c r="H23" s="10">
        <v>85</v>
      </c>
      <c r="I23" s="10">
        <v>44.2</v>
      </c>
      <c r="J23" s="10">
        <v>680</v>
      </c>
      <c r="K23" s="11">
        <v>0</v>
      </c>
      <c r="L23" s="10">
        <v>680</v>
      </c>
      <c r="M23" s="7" t="s">
        <v>26</v>
      </c>
      <c r="N23" s="32" t="s">
        <v>32</v>
      </c>
    </row>
    <row r="24" spans="1:14" x14ac:dyDescent="0.25">
      <c r="A24" s="29" t="s">
        <v>94</v>
      </c>
      <c r="B24" s="3">
        <v>45413</v>
      </c>
      <c r="C24" s="4" t="s">
        <v>95</v>
      </c>
      <c r="D24" s="2" t="s">
        <v>75</v>
      </c>
      <c r="E24" s="4" t="s">
        <v>96</v>
      </c>
      <c r="F24" s="2" t="s">
        <v>51</v>
      </c>
      <c r="G24" s="2">
        <v>18</v>
      </c>
      <c r="H24" s="5">
        <v>60</v>
      </c>
      <c r="I24" s="5">
        <v>36</v>
      </c>
      <c r="J24" s="5">
        <v>1080</v>
      </c>
      <c r="K24" s="6">
        <v>0</v>
      </c>
      <c r="L24" s="5">
        <v>1080</v>
      </c>
      <c r="M24" s="2" t="s">
        <v>26</v>
      </c>
      <c r="N24" s="31" t="s">
        <v>20</v>
      </c>
    </row>
    <row r="25" spans="1:14" x14ac:dyDescent="0.25">
      <c r="A25" s="30" t="s">
        <v>97</v>
      </c>
      <c r="B25" s="8">
        <v>45416</v>
      </c>
      <c r="C25" s="9" t="s">
        <v>98</v>
      </c>
      <c r="D25" s="7" t="s">
        <v>29</v>
      </c>
      <c r="E25" s="9" t="s">
        <v>45</v>
      </c>
      <c r="F25" s="7" t="s">
        <v>46</v>
      </c>
      <c r="G25" s="7">
        <v>7</v>
      </c>
      <c r="H25" s="10">
        <v>450</v>
      </c>
      <c r="I25" s="10">
        <v>247.5</v>
      </c>
      <c r="J25" s="10">
        <v>3150</v>
      </c>
      <c r="K25" s="11">
        <v>0</v>
      </c>
      <c r="L25" s="10">
        <v>3150</v>
      </c>
      <c r="M25" s="7" t="s">
        <v>47</v>
      </c>
      <c r="N25" s="32" t="s">
        <v>20</v>
      </c>
    </row>
    <row r="26" spans="1:14" x14ac:dyDescent="0.25">
      <c r="A26" s="29" t="s">
        <v>99</v>
      </c>
      <c r="B26" s="3">
        <v>45531</v>
      </c>
      <c r="C26" s="4" t="s">
        <v>100</v>
      </c>
      <c r="D26" s="2" t="s">
        <v>23</v>
      </c>
      <c r="E26" s="4" t="s">
        <v>88</v>
      </c>
      <c r="F26" s="2" t="s">
        <v>46</v>
      </c>
      <c r="G26" s="2">
        <v>4</v>
      </c>
      <c r="H26" s="5">
        <v>55</v>
      </c>
      <c r="I26" s="5">
        <v>30.25</v>
      </c>
      <c r="J26" s="5">
        <v>220</v>
      </c>
      <c r="K26" s="6">
        <v>0</v>
      </c>
      <c r="L26" s="5">
        <v>220</v>
      </c>
      <c r="M26" s="2" t="s">
        <v>47</v>
      </c>
      <c r="N26" s="31" t="s">
        <v>32</v>
      </c>
    </row>
    <row r="27" spans="1:14" x14ac:dyDescent="0.25">
      <c r="A27" s="30" t="s">
        <v>101</v>
      </c>
      <c r="B27" s="8">
        <v>45390</v>
      </c>
      <c r="C27" s="9" t="s">
        <v>102</v>
      </c>
      <c r="D27" s="7" t="s">
        <v>59</v>
      </c>
      <c r="E27" s="9" t="s">
        <v>82</v>
      </c>
      <c r="F27" s="7" t="s">
        <v>66</v>
      </c>
      <c r="G27" s="7">
        <v>5</v>
      </c>
      <c r="H27" s="10">
        <v>80</v>
      </c>
      <c r="I27" s="10">
        <v>38.4</v>
      </c>
      <c r="J27" s="10">
        <v>400</v>
      </c>
      <c r="K27" s="11">
        <v>10</v>
      </c>
      <c r="L27" s="10">
        <v>360</v>
      </c>
      <c r="M27" s="7" t="s">
        <v>47</v>
      </c>
      <c r="N27" s="32" t="s">
        <v>20</v>
      </c>
    </row>
    <row r="28" spans="1:14" x14ac:dyDescent="0.25">
      <c r="A28" s="29" t="s">
        <v>103</v>
      </c>
      <c r="B28" s="3">
        <v>45573</v>
      </c>
      <c r="C28" s="4" t="s">
        <v>104</v>
      </c>
      <c r="D28" s="2" t="s">
        <v>54</v>
      </c>
      <c r="E28" s="4" t="s">
        <v>17</v>
      </c>
      <c r="F28" s="2" t="s">
        <v>18</v>
      </c>
      <c r="G28" s="2">
        <v>1</v>
      </c>
      <c r="H28" s="5">
        <v>20</v>
      </c>
      <c r="I28" s="5">
        <v>10.4</v>
      </c>
      <c r="J28" s="5">
        <v>20</v>
      </c>
      <c r="K28" s="6">
        <v>0</v>
      </c>
      <c r="L28" s="5">
        <v>20</v>
      </c>
      <c r="M28" s="2" t="s">
        <v>26</v>
      </c>
      <c r="N28" s="31" t="s">
        <v>32</v>
      </c>
    </row>
    <row r="29" spans="1:14" x14ac:dyDescent="0.25">
      <c r="A29" s="30" t="s">
        <v>105</v>
      </c>
      <c r="B29" s="8">
        <v>45540</v>
      </c>
      <c r="C29" s="9" t="s">
        <v>106</v>
      </c>
      <c r="D29" s="7" t="s">
        <v>29</v>
      </c>
      <c r="E29" s="9" t="s">
        <v>107</v>
      </c>
      <c r="F29" s="7" t="s">
        <v>25</v>
      </c>
      <c r="G29" s="7">
        <v>2</v>
      </c>
      <c r="H29" s="10">
        <v>90</v>
      </c>
      <c r="I29" s="10">
        <v>45</v>
      </c>
      <c r="J29" s="10">
        <v>180</v>
      </c>
      <c r="K29" s="11">
        <v>0</v>
      </c>
      <c r="L29" s="10">
        <v>180</v>
      </c>
      <c r="M29" s="7" t="s">
        <v>26</v>
      </c>
      <c r="N29" s="32" t="s">
        <v>20</v>
      </c>
    </row>
    <row r="30" spans="1:14" x14ac:dyDescent="0.25">
      <c r="A30" s="29" t="s">
        <v>108</v>
      </c>
      <c r="B30" s="3">
        <v>45524</v>
      </c>
      <c r="C30" s="4" t="s">
        <v>109</v>
      </c>
      <c r="D30" s="2" t="s">
        <v>54</v>
      </c>
      <c r="E30" s="4" t="s">
        <v>96</v>
      </c>
      <c r="F30" s="2" t="s">
        <v>51</v>
      </c>
      <c r="G30" s="2">
        <v>16</v>
      </c>
      <c r="H30" s="5">
        <v>60</v>
      </c>
      <c r="I30" s="5">
        <v>36</v>
      </c>
      <c r="J30" s="5">
        <v>960</v>
      </c>
      <c r="K30" s="6">
        <v>0</v>
      </c>
      <c r="L30" s="5">
        <v>960</v>
      </c>
      <c r="M30" s="2" t="s">
        <v>19</v>
      </c>
      <c r="N30" s="31" t="s">
        <v>20</v>
      </c>
    </row>
    <row r="31" spans="1:14" x14ac:dyDescent="0.25">
      <c r="A31" s="30" t="s">
        <v>110</v>
      </c>
      <c r="B31" s="8">
        <v>45569</v>
      </c>
      <c r="C31" s="9" t="s">
        <v>111</v>
      </c>
      <c r="D31" s="7" t="s">
        <v>23</v>
      </c>
      <c r="E31" s="9" t="s">
        <v>38</v>
      </c>
      <c r="F31" s="7" t="s">
        <v>18</v>
      </c>
      <c r="G31" s="7">
        <v>2</v>
      </c>
      <c r="H31" s="10">
        <v>30</v>
      </c>
      <c r="I31" s="10">
        <v>15.6</v>
      </c>
      <c r="J31" s="10">
        <v>60</v>
      </c>
      <c r="K31" s="11">
        <v>15</v>
      </c>
      <c r="L31" s="10">
        <v>51</v>
      </c>
      <c r="M31" s="7" t="s">
        <v>26</v>
      </c>
      <c r="N31" s="32" t="s">
        <v>20</v>
      </c>
    </row>
    <row r="32" spans="1:14" x14ac:dyDescent="0.25">
      <c r="A32" s="29" t="s">
        <v>112</v>
      </c>
      <c r="B32" s="3">
        <v>45552</v>
      </c>
      <c r="C32" s="4" t="s">
        <v>113</v>
      </c>
      <c r="D32" s="2" t="s">
        <v>44</v>
      </c>
      <c r="E32" s="4" t="s">
        <v>114</v>
      </c>
      <c r="F32" s="2" t="s">
        <v>18</v>
      </c>
      <c r="G32" s="2">
        <v>20</v>
      </c>
      <c r="H32" s="5">
        <v>45</v>
      </c>
      <c r="I32" s="5">
        <v>23.4</v>
      </c>
      <c r="J32" s="5">
        <v>900</v>
      </c>
      <c r="K32" s="6">
        <v>0</v>
      </c>
      <c r="L32" s="5">
        <v>900</v>
      </c>
      <c r="M32" s="2" t="s">
        <v>19</v>
      </c>
      <c r="N32" s="31" t="s">
        <v>32</v>
      </c>
    </row>
    <row r="33" spans="1:14" x14ac:dyDescent="0.25">
      <c r="A33" s="30" t="s">
        <v>115</v>
      </c>
      <c r="B33" s="8">
        <v>45583</v>
      </c>
      <c r="C33" s="9" t="s">
        <v>116</v>
      </c>
      <c r="D33" s="7" t="s">
        <v>117</v>
      </c>
      <c r="E33" s="9" t="s">
        <v>82</v>
      </c>
      <c r="F33" s="7" t="s">
        <v>66</v>
      </c>
      <c r="G33" s="7">
        <v>2</v>
      </c>
      <c r="H33" s="10">
        <v>80</v>
      </c>
      <c r="I33" s="10">
        <v>38.4</v>
      </c>
      <c r="J33" s="10">
        <v>160</v>
      </c>
      <c r="K33" s="11">
        <v>0</v>
      </c>
      <c r="L33" s="10">
        <v>160</v>
      </c>
      <c r="M33" s="7" t="s">
        <v>47</v>
      </c>
      <c r="N33" s="32" t="s">
        <v>32</v>
      </c>
    </row>
    <row r="34" spans="1:14" x14ac:dyDescent="0.25">
      <c r="A34" s="29" t="s">
        <v>118</v>
      </c>
      <c r="B34" s="3">
        <v>45425</v>
      </c>
      <c r="C34" s="4" t="s">
        <v>119</v>
      </c>
      <c r="D34" s="2" t="s">
        <v>75</v>
      </c>
      <c r="E34" s="4" t="s">
        <v>120</v>
      </c>
      <c r="F34" s="2" t="s">
        <v>66</v>
      </c>
      <c r="G34" s="2">
        <v>9</v>
      </c>
      <c r="H34" s="5">
        <v>45</v>
      </c>
      <c r="I34" s="5">
        <v>21.6</v>
      </c>
      <c r="J34" s="5">
        <v>405</v>
      </c>
      <c r="K34" s="6">
        <v>10</v>
      </c>
      <c r="L34" s="5">
        <v>364.5</v>
      </c>
      <c r="M34" s="2" t="s">
        <v>26</v>
      </c>
      <c r="N34" s="31" t="s">
        <v>20</v>
      </c>
    </row>
    <row r="35" spans="1:14" x14ac:dyDescent="0.25">
      <c r="A35" s="30" t="s">
        <v>121</v>
      </c>
      <c r="B35" s="8">
        <v>45329</v>
      </c>
      <c r="C35" s="9" t="s">
        <v>122</v>
      </c>
      <c r="D35" s="7" t="s">
        <v>117</v>
      </c>
      <c r="E35" s="9" t="s">
        <v>123</v>
      </c>
      <c r="F35" s="7" t="s">
        <v>18</v>
      </c>
      <c r="G35" s="7">
        <v>19</v>
      </c>
      <c r="H35" s="10">
        <v>75</v>
      </c>
      <c r="I35" s="10">
        <v>39</v>
      </c>
      <c r="J35" s="10">
        <v>1425</v>
      </c>
      <c r="K35" s="11">
        <v>0</v>
      </c>
      <c r="L35" s="10">
        <v>1425</v>
      </c>
      <c r="M35" s="7" t="s">
        <v>19</v>
      </c>
      <c r="N35" s="32" t="s">
        <v>20</v>
      </c>
    </row>
    <row r="36" spans="1:14" x14ac:dyDescent="0.25">
      <c r="A36" s="29" t="s">
        <v>124</v>
      </c>
      <c r="B36" s="3">
        <v>45470</v>
      </c>
      <c r="C36" s="4" t="s">
        <v>125</v>
      </c>
      <c r="D36" s="2" t="s">
        <v>35</v>
      </c>
      <c r="E36" s="4" t="s">
        <v>126</v>
      </c>
      <c r="F36" s="2" t="s">
        <v>18</v>
      </c>
      <c r="G36" s="2">
        <v>10</v>
      </c>
      <c r="H36" s="5">
        <v>120</v>
      </c>
      <c r="I36" s="5">
        <v>62.4</v>
      </c>
      <c r="J36" s="5">
        <v>1200</v>
      </c>
      <c r="K36" s="6">
        <v>0</v>
      </c>
      <c r="L36" s="5">
        <v>1200</v>
      </c>
      <c r="M36" s="2" t="s">
        <v>47</v>
      </c>
      <c r="N36" s="31" t="s">
        <v>20</v>
      </c>
    </row>
    <row r="37" spans="1:14" x14ac:dyDescent="0.25">
      <c r="A37" s="30" t="s">
        <v>127</v>
      </c>
      <c r="B37" s="8">
        <v>45626</v>
      </c>
      <c r="C37" s="9" t="s">
        <v>113</v>
      </c>
      <c r="D37" s="7" t="s">
        <v>54</v>
      </c>
      <c r="E37" s="9" t="s">
        <v>69</v>
      </c>
      <c r="F37" s="7" t="s">
        <v>70</v>
      </c>
      <c r="G37" s="7">
        <v>10</v>
      </c>
      <c r="H37" s="10">
        <v>95</v>
      </c>
      <c r="I37" s="10">
        <v>42.75</v>
      </c>
      <c r="J37" s="10">
        <v>950</v>
      </c>
      <c r="K37" s="11">
        <v>0</v>
      </c>
      <c r="L37" s="10">
        <v>950</v>
      </c>
      <c r="M37" s="7" t="s">
        <v>19</v>
      </c>
      <c r="N37" s="32" t="s">
        <v>32</v>
      </c>
    </row>
    <row r="38" spans="1:14" x14ac:dyDescent="0.25">
      <c r="A38" s="29" t="s">
        <v>128</v>
      </c>
      <c r="B38" s="3">
        <v>45346</v>
      </c>
      <c r="C38" s="4" t="s">
        <v>129</v>
      </c>
      <c r="D38" s="2" t="s">
        <v>130</v>
      </c>
      <c r="E38" s="4" t="s">
        <v>30</v>
      </c>
      <c r="F38" s="2" t="s">
        <v>31</v>
      </c>
      <c r="G38" s="2">
        <v>9</v>
      </c>
      <c r="H38" s="5">
        <v>72</v>
      </c>
      <c r="I38" s="5">
        <v>33.840000000000003</v>
      </c>
      <c r="J38" s="5">
        <v>648</v>
      </c>
      <c r="K38" s="6">
        <v>5</v>
      </c>
      <c r="L38" s="5">
        <v>615.6</v>
      </c>
      <c r="M38" s="2" t="s">
        <v>26</v>
      </c>
      <c r="N38" s="31" t="s">
        <v>32</v>
      </c>
    </row>
    <row r="39" spans="1:14" x14ac:dyDescent="0.25">
      <c r="A39" s="30" t="s">
        <v>131</v>
      </c>
      <c r="B39" s="8">
        <v>45616</v>
      </c>
      <c r="C39" s="9" t="s">
        <v>132</v>
      </c>
      <c r="D39" s="7" t="s">
        <v>54</v>
      </c>
      <c r="E39" s="9" t="s">
        <v>45</v>
      </c>
      <c r="F39" s="7" t="s">
        <v>46</v>
      </c>
      <c r="G39" s="7">
        <v>16</v>
      </c>
      <c r="H39" s="10">
        <v>450</v>
      </c>
      <c r="I39" s="10">
        <v>247.5</v>
      </c>
      <c r="J39" s="10">
        <v>7200</v>
      </c>
      <c r="K39" s="11">
        <v>5</v>
      </c>
      <c r="L39" s="10">
        <v>6840</v>
      </c>
      <c r="M39" s="7" t="s">
        <v>26</v>
      </c>
      <c r="N39" s="32" t="s">
        <v>32</v>
      </c>
    </row>
    <row r="40" spans="1:14" x14ac:dyDescent="0.25">
      <c r="A40" s="29" t="s">
        <v>133</v>
      </c>
      <c r="B40" s="3">
        <v>45508</v>
      </c>
      <c r="C40" s="4" t="s">
        <v>122</v>
      </c>
      <c r="D40" s="2" t="s">
        <v>23</v>
      </c>
      <c r="E40" s="4" t="s">
        <v>45</v>
      </c>
      <c r="F40" s="2" t="s">
        <v>46</v>
      </c>
      <c r="G40" s="2">
        <v>1</v>
      </c>
      <c r="H40" s="5">
        <v>450</v>
      </c>
      <c r="I40" s="5">
        <v>247.5</v>
      </c>
      <c r="J40" s="5">
        <v>450</v>
      </c>
      <c r="K40" s="6">
        <v>10</v>
      </c>
      <c r="L40" s="5">
        <v>405</v>
      </c>
      <c r="M40" s="2" t="s">
        <v>26</v>
      </c>
      <c r="N40" s="31" t="s">
        <v>32</v>
      </c>
    </row>
    <row r="41" spans="1:14" x14ac:dyDescent="0.25">
      <c r="A41" s="30" t="s">
        <v>134</v>
      </c>
      <c r="B41" s="8">
        <v>45518</v>
      </c>
      <c r="C41" s="9" t="s">
        <v>135</v>
      </c>
      <c r="D41" s="7" t="s">
        <v>29</v>
      </c>
      <c r="E41" s="9" t="s">
        <v>76</v>
      </c>
      <c r="F41" s="7" t="s">
        <v>70</v>
      </c>
      <c r="G41" s="7">
        <v>18</v>
      </c>
      <c r="H41" s="10">
        <v>110</v>
      </c>
      <c r="I41" s="10">
        <v>49.5</v>
      </c>
      <c r="J41" s="10">
        <v>1980</v>
      </c>
      <c r="K41" s="11">
        <v>0</v>
      </c>
      <c r="L41" s="10">
        <v>1980</v>
      </c>
      <c r="M41" s="7" t="s">
        <v>26</v>
      </c>
      <c r="N41" s="32" t="s">
        <v>20</v>
      </c>
    </row>
    <row r="42" spans="1:14" x14ac:dyDescent="0.25">
      <c r="A42" s="29" t="s">
        <v>136</v>
      </c>
      <c r="B42" s="3">
        <v>45310</v>
      </c>
      <c r="C42" s="4" t="s">
        <v>137</v>
      </c>
      <c r="D42" s="2" t="s">
        <v>117</v>
      </c>
      <c r="E42" s="4" t="s">
        <v>45</v>
      </c>
      <c r="F42" s="2" t="s">
        <v>46</v>
      </c>
      <c r="G42" s="2">
        <v>18</v>
      </c>
      <c r="H42" s="5">
        <v>450</v>
      </c>
      <c r="I42" s="5">
        <v>247.5</v>
      </c>
      <c r="J42" s="5">
        <v>8100</v>
      </c>
      <c r="K42" s="6">
        <v>0</v>
      </c>
      <c r="L42" s="5">
        <v>8100</v>
      </c>
      <c r="M42" s="2" t="s">
        <v>19</v>
      </c>
      <c r="N42" s="31" t="s">
        <v>32</v>
      </c>
    </row>
    <row r="43" spans="1:14" x14ac:dyDescent="0.25">
      <c r="A43" s="30" t="s">
        <v>138</v>
      </c>
      <c r="B43" s="8">
        <v>45312</v>
      </c>
      <c r="C43" s="9" t="s">
        <v>139</v>
      </c>
      <c r="D43" s="7" t="s">
        <v>75</v>
      </c>
      <c r="E43" s="9" t="s">
        <v>50</v>
      </c>
      <c r="F43" s="7" t="s">
        <v>51</v>
      </c>
      <c r="G43" s="7">
        <v>4</v>
      </c>
      <c r="H43" s="10">
        <v>120</v>
      </c>
      <c r="I43" s="10">
        <v>72</v>
      </c>
      <c r="J43" s="10">
        <v>480</v>
      </c>
      <c r="K43" s="11">
        <v>10</v>
      </c>
      <c r="L43" s="10">
        <v>432</v>
      </c>
      <c r="M43" s="7" t="s">
        <v>26</v>
      </c>
      <c r="N43" s="32" t="s">
        <v>20</v>
      </c>
    </row>
    <row r="44" spans="1:14" x14ac:dyDescent="0.25">
      <c r="A44" s="29" t="s">
        <v>140</v>
      </c>
      <c r="B44" s="3">
        <v>45371</v>
      </c>
      <c r="C44" s="4" t="s">
        <v>141</v>
      </c>
      <c r="D44" s="2" t="s">
        <v>130</v>
      </c>
      <c r="E44" s="4" t="s">
        <v>65</v>
      </c>
      <c r="F44" s="2" t="s">
        <v>66</v>
      </c>
      <c r="G44" s="2">
        <v>14</v>
      </c>
      <c r="H44" s="5">
        <v>65</v>
      </c>
      <c r="I44" s="5">
        <v>31.2</v>
      </c>
      <c r="J44" s="5">
        <v>910</v>
      </c>
      <c r="K44" s="6">
        <v>0</v>
      </c>
      <c r="L44" s="5">
        <v>910</v>
      </c>
      <c r="M44" s="2" t="s">
        <v>26</v>
      </c>
      <c r="N44" s="31" t="s">
        <v>20</v>
      </c>
    </row>
    <row r="45" spans="1:14" x14ac:dyDescent="0.25">
      <c r="A45" s="30" t="s">
        <v>142</v>
      </c>
      <c r="B45" s="8">
        <v>45634</v>
      </c>
      <c r="C45" s="9" t="s">
        <v>62</v>
      </c>
      <c r="D45" s="7" t="s">
        <v>75</v>
      </c>
      <c r="E45" s="9" t="s">
        <v>88</v>
      </c>
      <c r="F45" s="7" t="s">
        <v>46</v>
      </c>
      <c r="G45" s="7">
        <v>9</v>
      </c>
      <c r="H45" s="10">
        <v>55</v>
      </c>
      <c r="I45" s="10">
        <v>30.25</v>
      </c>
      <c r="J45" s="10">
        <v>495</v>
      </c>
      <c r="K45" s="11">
        <v>0</v>
      </c>
      <c r="L45" s="10">
        <v>495</v>
      </c>
      <c r="M45" s="7" t="s">
        <v>19</v>
      </c>
      <c r="N45" s="32" t="s">
        <v>32</v>
      </c>
    </row>
    <row r="46" spans="1:14" x14ac:dyDescent="0.25">
      <c r="A46" s="29" t="s">
        <v>143</v>
      </c>
      <c r="B46" s="3">
        <v>45532</v>
      </c>
      <c r="C46" s="4" t="s">
        <v>144</v>
      </c>
      <c r="D46" s="2" t="s">
        <v>59</v>
      </c>
      <c r="E46" s="4" t="s">
        <v>65</v>
      </c>
      <c r="F46" s="2" t="s">
        <v>66</v>
      </c>
      <c r="G46" s="2">
        <v>12</v>
      </c>
      <c r="H46" s="5">
        <v>65</v>
      </c>
      <c r="I46" s="5">
        <v>31.2</v>
      </c>
      <c r="J46" s="5">
        <v>780</v>
      </c>
      <c r="K46" s="6">
        <v>5</v>
      </c>
      <c r="L46" s="5">
        <v>741</v>
      </c>
      <c r="M46" s="2" t="s">
        <v>26</v>
      </c>
      <c r="N46" s="31" t="s">
        <v>32</v>
      </c>
    </row>
    <row r="47" spans="1:14" x14ac:dyDescent="0.25">
      <c r="A47" s="30" t="s">
        <v>145</v>
      </c>
      <c r="B47" s="8">
        <v>45629</v>
      </c>
      <c r="C47" s="9" t="s">
        <v>146</v>
      </c>
      <c r="D47" s="7" t="s">
        <v>35</v>
      </c>
      <c r="E47" s="9" t="s">
        <v>85</v>
      </c>
      <c r="F47" s="7" t="s">
        <v>66</v>
      </c>
      <c r="G47" s="7">
        <v>9</v>
      </c>
      <c r="H47" s="10">
        <v>55</v>
      </c>
      <c r="I47" s="10">
        <v>26.4</v>
      </c>
      <c r="J47" s="10">
        <v>495</v>
      </c>
      <c r="K47" s="11">
        <v>0</v>
      </c>
      <c r="L47" s="10">
        <v>495</v>
      </c>
      <c r="M47" s="7" t="s">
        <v>19</v>
      </c>
      <c r="N47" s="32" t="s">
        <v>32</v>
      </c>
    </row>
    <row r="48" spans="1:14" x14ac:dyDescent="0.25">
      <c r="A48" s="29" t="s">
        <v>147</v>
      </c>
      <c r="B48" s="3">
        <v>45639</v>
      </c>
      <c r="C48" s="4" t="s">
        <v>148</v>
      </c>
      <c r="D48" s="2" t="s">
        <v>35</v>
      </c>
      <c r="E48" s="4" t="s">
        <v>88</v>
      </c>
      <c r="F48" s="2" t="s">
        <v>46</v>
      </c>
      <c r="G48" s="2">
        <v>1</v>
      </c>
      <c r="H48" s="5">
        <v>55</v>
      </c>
      <c r="I48" s="5">
        <v>30.25</v>
      </c>
      <c r="J48" s="5">
        <v>55</v>
      </c>
      <c r="K48" s="6">
        <v>0</v>
      </c>
      <c r="L48" s="5">
        <v>55</v>
      </c>
      <c r="M48" s="2" t="s">
        <v>19</v>
      </c>
      <c r="N48" s="31" t="s">
        <v>32</v>
      </c>
    </row>
    <row r="49" spans="1:14" x14ac:dyDescent="0.25">
      <c r="A49" s="30" t="s">
        <v>149</v>
      </c>
      <c r="B49" s="8">
        <v>45311</v>
      </c>
      <c r="C49" s="9" t="s">
        <v>150</v>
      </c>
      <c r="D49" s="7" t="s">
        <v>29</v>
      </c>
      <c r="E49" s="9" t="s">
        <v>151</v>
      </c>
      <c r="F49" s="7" t="s">
        <v>18</v>
      </c>
      <c r="G49" s="7">
        <v>12</v>
      </c>
      <c r="H49" s="10">
        <v>95</v>
      </c>
      <c r="I49" s="10">
        <v>49.4</v>
      </c>
      <c r="J49" s="10">
        <v>1140</v>
      </c>
      <c r="K49" s="11">
        <v>10</v>
      </c>
      <c r="L49" s="10">
        <v>1026</v>
      </c>
      <c r="M49" s="7" t="s">
        <v>26</v>
      </c>
      <c r="N49" s="32" t="s">
        <v>20</v>
      </c>
    </row>
    <row r="50" spans="1:14" x14ac:dyDescent="0.25">
      <c r="A50" s="29" t="s">
        <v>152</v>
      </c>
      <c r="B50" s="3">
        <v>45587</v>
      </c>
      <c r="C50" s="4" t="s">
        <v>153</v>
      </c>
      <c r="D50" s="2" t="s">
        <v>23</v>
      </c>
      <c r="E50" s="4" t="s">
        <v>120</v>
      </c>
      <c r="F50" s="2" t="s">
        <v>66</v>
      </c>
      <c r="G50" s="2">
        <v>14</v>
      </c>
      <c r="H50" s="5">
        <v>45</v>
      </c>
      <c r="I50" s="5">
        <v>21.6</v>
      </c>
      <c r="J50" s="5">
        <v>630</v>
      </c>
      <c r="K50" s="6">
        <v>0</v>
      </c>
      <c r="L50" s="5">
        <v>630</v>
      </c>
      <c r="M50" s="2" t="s">
        <v>26</v>
      </c>
      <c r="N50" s="31" t="s">
        <v>32</v>
      </c>
    </row>
    <row r="51" spans="1:14" x14ac:dyDescent="0.25">
      <c r="A51" s="30" t="s">
        <v>154</v>
      </c>
      <c r="B51" s="8">
        <v>45512</v>
      </c>
      <c r="C51" s="9" t="s">
        <v>155</v>
      </c>
      <c r="D51" s="7" t="s">
        <v>117</v>
      </c>
      <c r="E51" s="9" t="s">
        <v>38</v>
      </c>
      <c r="F51" s="7" t="s">
        <v>18</v>
      </c>
      <c r="G51" s="7">
        <v>11</v>
      </c>
      <c r="H51" s="10">
        <v>30</v>
      </c>
      <c r="I51" s="10">
        <v>15.6</v>
      </c>
      <c r="J51" s="10">
        <v>330</v>
      </c>
      <c r="K51" s="11">
        <v>0</v>
      </c>
      <c r="L51" s="10">
        <v>330</v>
      </c>
      <c r="M51" s="7" t="s">
        <v>47</v>
      </c>
      <c r="N51" s="32" t="s">
        <v>32</v>
      </c>
    </row>
    <row r="52" spans="1:14" x14ac:dyDescent="0.25">
      <c r="A52" s="29" t="s">
        <v>156</v>
      </c>
      <c r="B52" s="3">
        <v>45501</v>
      </c>
      <c r="C52" s="4" t="s">
        <v>157</v>
      </c>
      <c r="D52" s="2" t="s">
        <v>16</v>
      </c>
      <c r="E52" s="4" t="s">
        <v>96</v>
      </c>
      <c r="F52" s="2" t="s">
        <v>51</v>
      </c>
      <c r="G52" s="2">
        <v>18</v>
      </c>
      <c r="H52" s="5">
        <v>60</v>
      </c>
      <c r="I52" s="5">
        <v>36</v>
      </c>
      <c r="J52" s="5">
        <v>1080</v>
      </c>
      <c r="K52" s="6">
        <v>0</v>
      </c>
      <c r="L52" s="5">
        <v>1080</v>
      </c>
      <c r="M52" s="2" t="s">
        <v>26</v>
      </c>
      <c r="N52" s="31" t="s">
        <v>20</v>
      </c>
    </row>
    <row r="53" spans="1:14" x14ac:dyDescent="0.25">
      <c r="A53" s="30" t="s">
        <v>158</v>
      </c>
      <c r="B53" s="8">
        <v>45381</v>
      </c>
      <c r="C53" s="9" t="s">
        <v>159</v>
      </c>
      <c r="D53" s="7" t="s">
        <v>16</v>
      </c>
      <c r="E53" s="9" t="s">
        <v>76</v>
      </c>
      <c r="F53" s="7" t="s">
        <v>70</v>
      </c>
      <c r="G53" s="7">
        <v>13</v>
      </c>
      <c r="H53" s="10">
        <v>110</v>
      </c>
      <c r="I53" s="10">
        <v>49.5</v>
      </c>
      <c r="J53" s="10">
        <v>1430</v>
      </c>
      <c r="K53" s="11">
        <v>20</v>
      </c>
      <c r="L53" s="10">
        <v>1144</v>
      </c>
      <c r="M53" s="7" t="s">
        <v>47</v>
      </c>
      <c r="N53" s="32" t="s">
        <v>32</v>
      </c>
    </row>
    <row r="54" spans="1:14" x14ac:dyDescent="0.25">
      <c r="A54" s="29" t="s">
        <v>160</v>
      </c>
      <c r="B54" s="3">
        <v>45588</v>
      </c>
      <c r="C54" s="4" t="s">
        <v>161</v>
      </c>
      <c r="D54" s="2" t="s">
        <v>35</v>
      </c>
      <c r="E54" s="4" t="s">
        <v>76</v>
      </c>
      <c r="F54" s="2" t="s">
        <v>70</v>
      </c>
      <c r="G54" s="2">
        <v>15</v>
      </c>
      <c r="H54" s="5">
        <v>110</v>
      </c>
      <c r="I54" s="5">
        <v>49.5</v>
      </c>
      <c r="J54" s="5">
        <v>1650</v>
      </c>
      <c r="K54" s="6">
        <v>15</v>
      </c>
      <c r="L54" s="5">
        <v>1402.5</v>
      </c>
      <c r="M54" s="2" t="s">
        <v>19</v>
      </c>
      <c r="N54" s="31" t="s">
        <v>32</v>
      </c>
    </row>
    <row r="55" spans="1:14" x14ac:dyDescent="0.25">
      <c r="A55" s="30" t="s">
        <v>162</v>
      </c>
      <c r="B55" s="8">
        <v>45378</v>
      </c>
      <c r="C55" s="9" t="s">
        <v>163</v>
      </c>
      <c r="D55" s="7" t="s">
        <v>16</v>
      </c>
      <c r="E55" s="9" t="s">
        <v>164</v>
      </c>
      <c r="F55" s="7" t="s">
        <v>31</v>
      </c>
      <c r="G55" s="7">
        <v>17</v>
      </c>
      <c r="H55" s="10">
        <v>85</v>
      </c>
      <c r="I55" s="10">
        <v>39.950000000000003</v>
      </c>
      <c r="J55" s="10">
        <v>1445</v>
      </c>
      <c r="K55" s="11">
        <v>10</v>
      </c>
      <c r="L55" s="10">
        <v>1300.5</v>
      </c>
      <c r="M55" s="7" t="s">
        <v>26</v>
      </c>
      <c r="N55" s="32" t="s">
        <v>20</v>
      </c>
    </row>
    <row r="56" spans="1:14" x14ac:dyDescent="0.25">
      <c r="A56" s="29" t="s">
        <v>165</v>
      </c>
      <c r="B56" s="3">
        <v>45450</v>
      </c>
      <c r="C56" s="4" t="s">
        <v>102</v>
      </c>
      <c r="D56" s="2" t="s">
        <v>130</v>
      </c>
      <c r="E56" s="4" t="s">
        <v>65</v>
      </c>
      <c r="F56" s="2" t="s">
        <v>66</v>
      </c>
      <c r="G56" s="2">
        <v>1</v>
      </c>
      <c r="H56" s="5">
        <v>65</v>
      </c>
      <c r="I56" s="5">
        <v>31.2</v>
      </c>
      <c r="J56" s="5">
        <v>65</v>
      </c>
      <c r="K56" s="6">
        <v>0</v>
      </c>
      <c r="L56" s="5">
        <v>65</v>
      </c>
      <c r="M56" s="2" t="s">
        <v>47</v>
      </c>
      <c r="N56" s="31" t="s">
        <v>20</v>
      </c>
    </row>
    <row r="57" spans="1:14" x14ac:dyDescent="0.25">
      <c r="A57" s="30" t="s">
        <v>166</v>
      </c>
      <c r="B57" s="8">
        <v>45504</v>
      </c>
      <c r="C57" s="9" t="s">
        <v>167</v>
      </c>
      <c r="D57" s="7" t="s">
        <v>75</v>
      </c>
      <c r="E57" s="9" t="s">
        <v>30</v>
      </c>
      <c r="F57" s="7" t="s">
        <v>31</v>
      </c>
      <c r="G57" s="7">
        <v>13</v>
      </c>
      <c r="H57" s="10">
        <v>72</v>
      </c>
      <c r="I57" s="10">
        <v>33.840000000000003</v>
      </c>
      <c r="J57" s="10">
        <v>936</v>
      </c>
      <c r="K57" s="11">
        <v>15</v>
      </c>
      <c r="L57" s="10">
        <v>795.6</v>
      </c>
      <c r="M57" s="7" t="s">
        <v>19</v>
      </c>
      <c r="N57" s="32" t="s">
        <v>32</v>
      </c>
    </row>
    <row r="58" spans="1:14" x14ac:dyDescent="0.25">
      <c r="A58" s="29" t="s">
        <v>168</v>
      </c>
      <c r="B58" s="3">
        <v>45346</v>
      </c>
      <c r="C58" s="4" t="s">
        <v>169</v>
      </c>
      <c r="D58" s="2" t="s">
        <v>75</v>
      </c>
      <c r="E58" s="4" t="s">
        <v>45</v>
      </c>
      <c r="F58" s="2" t="s">
        <v>46</v>
      </c>
      <c r="G58" s="2">
        <v>6</v>
      </c>
      <c r="H58" s="5">
        <v>450</v>
      </c>
      <c r="I58" s="5">
        <v>247.5</v>
      </c>
      <c r="J58" s="5">
        <v>2700</v>
      </c>
      <c r="K58" s="6">
        <v>20</v>
      </c>
      <c r="L58" s="5">
        <v>2160</v>
      </c>
      <c r="M58" s="2" t="s">
        <v>47</v>
      </c>
      <c r="N58" s="31" t="s">
        <v>32</v>
      </c>
    </row>
    <row r="59" spans="1:14" x14ac:dyDescent="0.25">
      <c r="A59" s="30" t="s">
        <v>170</v>
      </c>
      <c r="B59" s="8">
        <v>45360</v>
      </c>
      <c r="C59" s="9" t="s">
        <v>171</v>
      </c>
      <c r="D59" s="7" t="s">
        <v>54</v>
      </c>
      <c r="E59" s="9" t="s">
        <v>45</v>
      </c>
      <c r="F59" s="7" t="s">
        <v>46</v>
      </c>
      <c r="G59" s="7">
        <v>18</v>
      </c>
      <c r="H59" s="10">
        <v>450</v>
      </c>
      <c r="I59" s="10">
        <v>247.5</v>
      </c>
      <c r="J59" s="10">
        <v>8100</v>
      </c>
      <c r="K59" s="11">
        <v>10</v>
      </c>
      <c r="L59" s="10">
        <v>7290</v>
      </c>
      <c r="M59" s="7" t="s">
        <v>26</v>
      </c>
      <c r="N59" s="32" t="s">
        <v>32</v>
      </c>
    </row>
    <row r="60" spans="1:14" x14ac:dyDescent="0.25">
      <c r="A60" s="29" t="s">
        <v>172</v>
      </c>
      <c r="B60" s="3">
        <v>45550</v>
      </c>
      <c r="C60" s="4" t="s">
        <v>173</v>
      </c>
      <c r="D60" s="2" t="s">
        <v>130</v>
      </c>
      <c r="E60" s="4" t="s">
        <v>60</v>
      </c>
      <c r="F60" s="2" t="s">
        <v>25</v>
      </c>
      <c r="G60" s="2">
        <v>16</v>
      </c>
      <c r="H60" s="5">
        <v>55</v>
      </c>
      <c r="I60" s="5">
        <v>27.5</v>
      </c>
      <c r="J60" s="5">
        <v>880</v>
      </c>
      <c r="K60" s="6">
        <v>15</v>
      </c>
      <c r="L60" s="5">
        <v>748</v>
      </c>
      <c r="M60" s="2" t="s">
        <v>19</v>
      </c>
      <c r="N60" s="31" t="s">
        <v>20</v>
      </c>
    </row>
    <row r="61" spans="1:14" x14ac:dyDescent="0.25">
      <c r="A61" s="30" t="s">
        <v>174</v>
      </c>
      <c r="B61" s="8">
        <v>45558</v>
      </c>
      <c r="C61" s="9" t="s">
        <v>175</v>
      </c>
      <c r="D61" s="7" t="s">
        <v>16</v>
      </c>
      <c r="E61" s="9" t="s">
        <v>107</v>
      </c>
      <c r="F61" s="7" t="s">
        <v>25</v>
      </c>
      <c r="G61" s="7">
        <v>15</v>
      </c>
      <c r="H61" s="10">
        <v>90</v>
      </c>
      <c r="I61" s="10">
        <v>45</v>
      </c>
      <c r="J61" s="10">
        <v>1350</v>
      </c>
      <c r="K61" s="11">
        <v>0</v>
      </c>
      <c r="L61" s="10">
        <v>1350</v>
      </c>
      <c r="M61" s="7" t="s">
        <v>19</v>
      </c>
      <c r="N61" s="32" t="s">
        <v>32</v>
      </c>
    </row>
    <row r="62" spans="1:14" x14ac:dyDescent="0.25">
      <c r="A62" s="29" t="s">
        <v>176</v>
      </c>
      <c r="B62" s="3">
        <v>45568</v>
      </c>
      <c r="C62" s="4" t="s">
        <v>177</v>
      </c>
      <c r="D62" s="2" t="s">
        <v>130</v>
      </c>
      <c r="E62" s="4" t="s">
        <v>114</v>
      </c>
      <c r="F62" s="2" t="s">
        <v>18</v>
      </c>
      <c r="G62" s="2">
        <v>8</v>
      </c>
      <c r="H62" s="5">
        <v>45</v>
      </c>
      <c r="I62" s="5">
        <v>23.4</v>
      </c>
      <c r="J62" s="5">
        <v>360</v>
      </c>
      <c r="K62" s="6">
        <v>10</v>
      </c>
      <c r="L62" s="5">
        <v>324</v>
      </c>
      <c r="M62" s="2" t="s">
        <v>26</v>
      </c>
      <c r="N62" s="31" t="s">
        <v>32</v>
      </c>
    </row>
    <row r="63" spans="1:14" x14ac:dyDescent="0.25">
      <c r="A63" s="30" t="s">
        <v>178</v>
      </c>
      <c r="B63" s="8">
        <v>45500</v>
      </c>
      <c r="C63" s="9" t="s">
        <v>179</v>
      </c>
      <c r="D63" s="7" t="s">
        <v>29</v>
      </c>
      <c r="E63" s="9" t="s">
        <v>96</v>
      </c>
      <c r="F63" s="7" t="s">
        <v>51</v>
      </c>
      <c r="G63" s="7">
        <v>2</v>
      </c>
      <c r="H63" s="10">
        <v>60</v>
      </c>
      <c r="I63" s="10">
        <v>36</v>
      </c>
      <c r="J63" s="10">
        <v>120</v>
      </c>
      <c r="K63" s="11">
        <v>5</v>
      </c>
      <c r="L63" s="10">
        <v>114</v>
      </c>
      <c r="M63" s="7" t="s">
        <v>47</v>
      </c>
      <c r="N63" s="32" t="s">
        <v>20</v>
      </c>
    </row>
    <row r="64" spans="1:14" x14ac:dyDescent="0.25">
      <c r="A64" s="29" t="s">
        <v>180</v>
      </c>
      <c r="B64" s="3">
        <v>45302</v>
      </c>
      <c r="C64" s="4" t="s">
        <v>181</v>
      </c>
      <c r="D64" s="2" t="s">
        <v>29</v>
      </c>
      <c r="E64" s="4" t="s">
        <v>88</v>
      </c>
      <c r="F64" s="2" t="s">
        <v>46</v>
      </c>
      <c r="G64" s="2">
        <v>16</v>
      </c>
      <c r="H64" s="5">
        <v>55</v>
      </c>
      <c r="I64" s="5">
        <v>30.25</v>
      </c>
      <c r="J64" s="5">
        <v>880</v>
      </c>
      <c r="K64" s="6">
        <v>0</v>
      </c>
      <c r="L64" s="5">
        <v>880</v>
      </c>
      <c r="M64" s="2" t="s">
        <v>19</v>
      </c>
      <c r="N64" s="31" t="s">
        <v>32</v>
      </c>
    </row>
    <row r="65" spans="1:14" x14ac:dyDescent="0.25">
      <c r="A65" s="30" t="s">
        <v>182</v>
      </c>
      <c r="B65" s="8">
        <v>45506</v>
      </c>
      <c r="C65" s="9" t="s">
        <v>183</v>
      </c>
      <c r="D65" s="7" t="s">
        <v>54</v>
      </c>
      <c r="E65" s="9" t="s">
        <v>76</v>
      </c>
      <c r="F65" s="7" t="s">
        <v>70</v>
      </c>
      <c r="G65" s="7">
        <v>20</v>
      </c>
      <c r="H65" s="10">
        <v>110</v>
      </c>
      <c r="I65" s="10">
        <v>49.5</v>
      </c>
      <c r="J65" s="10">
        <v>2200</v>
      </c>
      <c r="K65" s="11">
        <v>5</v>
      </c>
      <c r="L65" s="10">
        <v>2090</v>
      </c>
      <c r="M65" s="7" t="s">
        <v>19</v>
      </c>
      <c r="N65" s="32" t="s">
        <v>32</v>
      </c>
    </row>
    <row r="66" spans="1:14" x14ac:dyDescent="0.25">
      <c r="A66" s="29" t="s">
        <v>184</v>
      </c>
      <c r="B66" s="3">
        <v>45491</v>
      </c>
      <c r="C66" s="4" t="s">
        <v>185</v>
      </c>
      <c r="D66" s="2" t="s">
        <v>130</v>
      </c>
      <c r="E66" s="4" t="s">
        <v>96</v>
      </c>
      <c r="F66" s="2" t="s">
        <v>51</v>
      </c>
      <c r="G66" s="2">
        <v>15</v>
      </c>
      <c r="H66" s="5">
        <v>60</v>
      </c>
      <c r="I66" s="5">
        <v>36</v>
      </c>
      <c r="J66" s="5">
        <v>900</v>
      </c>
      <c r="K66" s="6">
        <v>0</v>
      </c>
      <c r="L66" s="5">
        <v>900</v>
      </c>
      <c r="M66" s="2" t="s">
        <v>47</v>
      </c>
      <c r="N66" s="31" t="s">
        <v>32</v>
      </c>
    </row>
    <row r="67" spans="1:14" x14ac:dyDescent="0.25">
      <c r="A67" s="30" t="s">
        <v>186</v>
      </c>
      <c r="B67" s="8">
        <v>45580</v>
      </c>
      <c r="C67" s="9" t="s">
        <v>187</v>
      </c>
      <c r="D67" s="7" t="s">
        <v>44</v>
      </c>
      <c r="E67" s="9" t="s">
        <v>164</v>
      </c>
      <c r="F67" s="7" t="s">
        <v>31</v>
      </c>
      <c r="G67" s="7">
        <v>14</v>
      </c>
      <c r="H67" s="10">
        <v>85</v>
      </c>
      <c r="I67" s="10">
        <v>39.950000000000003</v>
      </c>
      <c r="J67" s="10">
        <v>1190</v>
      </c>
      <c r="K67" s="11">
        <v>0</v>
      </c>
      <c r="L67" s="10">
        <v>1190</v>
      </c>
      <c r="M67" s="7" t="s">
        <v>19</v>
      </c>
      <c r="N67" s="32" t="s">
        <v>32</v>
      </c>
    </row>
    <row r="68" spans="1:14" x14ac:dyDescent="0.25">
      <c r="A68" s="29" t="s">
        <v>188</v>
      </c>
      <c r="B68" s="3">
        <v>45459</v>
      </c>
      <c r="C68" s="4" t="s">
        <v>189</v>
      </c>
      <c r="D68" s="2" t="s">
        <v>35</v>
      </c>
      <c r="E68" s="4" t="s">
        <v>85</v>
      </c>
      <c r="F68" s="2" t="s">
        <v>66</v>
      </c>
      <c r="G68" s="2">
        <v>11</v>
      </c>
      <c r="H68" s="5">
        <v>55</v>
      </c>
      <c r="I68" s="5">
        <v>26.4</v>
      </c>
      <c r="J68" s="5">
        <v>605</v>
      </c>
      <c r="K68" s="6">
        <v>10</v>
      </c>
      <c r="L68" s="5">
        <v>544.5</v>
      </c>
      <c r="M68" s="2" t="s">
        <v>26</v>
      </c>
      <c r="N68" s="31" t="s">
        <v>20</v>
      </c>
    </row>
    <row r="69" spans="1:14" x14ac:dyDescent="0.25">
      <c r="A69" s="30" t="s">
        <v>190</v>
      </c>
      <c r="B69" s="8">
        <v>45333</v>
      </c>
      <c r="C69" s="9" t="s">
        <v>191</v>
      </c>
      <c r="D69" s="7" t="s">
        <v>54</v>
      </c>
      <c r="E69" s="9" t="s">
        <v>24</v>
      </c>
      <c r="F69" s="7" t="s">
        <v>25</v>
      </c>
      <c r="G69" s="7">
        <v>2</v>
      </c>
      <c r="H69" s="10">
        <v>40</v>
      </c>
      <c r="I69" s="10">
        <v>20</v>
      </c>
      <c r="J69" s="10">
        <v>80</v>
      </c>
      <c r="K69" s="11">
        <v>10</v>
      </c>
      <c r="L69" s="10">
        <v>72</v>
      </c>
      <c r="M69" s="7" t="s">
        <v>19</v>
      </c>
      <c r="N69" s="32" t="s">
        <v>20</v>
      </c>
    </row>
    <row r="70" spans="1:14" x14ac:dyDescent="0.25">
      <c r="A70" s="29" t="s">
        <v>192</v>
      </c>
      <c r="B70" s="3">
        <v>45307</v>
      </c>
      <c r="C70" s="4" t="s">
        <v>193</v>
      </c>
      <c r="D70" s="2" t="s">
        <v>23</v>
      </c>
      <c r="E70" s="4" t="s">
        <v>65</v>
      </c>
      <c r="F70" s="2" t="s">
        <v>66</v>
      </c>
      <c r="G70" s="2">
        <v>20</v>
      </c>
      <c r="H70" s="5">
        <v>65</v>
      </c>
      <c r="I70" s="5">
        <v>31.2</v>
      </c>
      <c r="J70" s="5">
        <v>1300</v>
      </c>
      <c r="K70" s="6">
        <v>0</v>
      </c>
      <c r="L70" s="5">
        <v>1300</v>
      </c>
      <c r="M70" s="2" t="s">
        <v>47</v>
      </c>
      <c r="N70" s="31" t="s">
        <v>20</v>
      </c>
    </row>
    <row r="71" spans="1:14" x14ac:dyDescent="0.25">
      <c r="A71" s="30" t="s">
        <v>194</v>
      </c>
      <c r="B71" s="8">
        <v>45403</v>
      </c>
      <c r="C71" s="9" t="s">
        <v>195</v>
      </c>
      <c r="D71" s="7" t="s">
        <v>35</v>
      </c>
      <c r="E71" s="9" t="s">
        <v>196</v>
      </c>
      <c r="F71" s="7" t="s">
        <v>25</v>
      </c>
      <c r="G71" s="7">
        <v>6</v>
      </c>
      <c r="H71" s="10">
        <v>75</v>
      </c>
      <c r="I71" s="10">
        <v>37.5</v>
      </c>
      <c r="J71" s="10">
        <v>450</v>
      </c>
      <c r="K71" s="11">
        <v>0</v>
      </c>
      <c r="L71" s="10">
        <v>450</v>
      </c>
      <c r="M71" s="7" t="s">
        <v>19</v>
      </c>
      <c r="N71" s="32" t="s">
        <v>32</v>
      </c>
    </row>
    <row r="72" spans="1:14" x14ac:dyDescent="0.25">
      <c r="A72" s="29" t="s">
        <v>197</v>
      </c>
      <c r="B72" s="3">
        <v>45588</v>
      </c>
      <c r="C72" s="4" t="s">
        <v>179</v>
      </c>
      <c r="D72" s="2" t="s">
        <v>117</v>
      </c>
      <c r="E72" s="4" t="s">
        <v>198</v>
      </c>
      <c r="F72" s="2" t="s">
        <v>18</v>
      </c>
      <c r="G72" s="2">
        <v>13</v>
      </c>
      <c r="H72" s="5">
        <v>35</v>
      </c>
      <c r="I72" s="5">
        <v>18.2</v>
      </c>
      <c r="J72" s="5">
        <v>455</v>
      </c>
      <c r="K72" s="6">
        <v>10</v>
      </c>
      <c r="L72" s="5">
        <v>409.5</v>
      </c>
      <c r="M72" s="2" t="s">
        <v>19</v>
      </c>
      <c r="N72" s="31" t="s">
        <v>32</v>
      </c>
    </row>
    <row r="73" spans="1:14" x14ac:dyDescent="0.25">
      <c r="A73" s="30" t="s">
        <v>199</v>
      </c>
      <c r="B73" s="8">
        <v>45613</v>
      </c>
      <c r="C73" s="9" t="s">
        <v>200</v>
      </c>
      <c r="D73" s="7" t="s">
        <v>16</v>
      </c>
      <c r="E73" s="9" t="s">
        <v>201</v>
      </c>
      <c r="F73" s="7" t="s">
        <v>66</v>
      </c>
      <c r="G73" s="7">
        <v>20</v>
      </c>
      <c r="H73" s="10">
        <v>110</v>
      </c>
      <c r="I73" s="10">
        <v>52.8</v>
      </c>
      <c r="J73" s="10">
        <v>2200</v>
      </c>
      <c r="K73" s="11">
        <v>0</v>
      </c>
      <c r="L73" s="10">
        <v>2200</v>
      </c>
      <c r="M73" s="7" t="s">
        <v>47</v>
      </c>
      <c r="N73" s="32" t="s">
        <v>32</v>
      </c>
    </row>
    <row r="74" spans="1:14" x14ac:dyDescent="0.25">
      <c r="A74" s="29" t="s">
        <v>202</v>
      </c>
      <c r="B74" s="3">
        <v>45564</v>
      </c>
      <c r="C74" s="4" t="s">
        <v>203</v>
      </c>
      <c r="D74" s="2" t="s">
        <v>44</v>
      </c>
      <c r="E74" s="4" t="s">
        <v>196</v>
      </c>
      <c r="F74" s="2" t="s">
        <v>25</v>
      </c>
      <c r="G74" s="2">
        <v>17</v>
      </c>
      <c r="H74" s="5">
        <v>75</v>
      </c>
      <c r="I74" s="5">
        <v>37.5</v>
      </c>
      <c r="J74" s="5">
        <v>1275</v>
      </c>
      <c r="K74" s="6">
        <v>10</v>
      </c>
      <c r="L74" s="5">
        <v>1147.5</v>
      </c>
      <c r="M74" s="2" t="s">
        <v>47</v>
      </c>
      <c r="N74" s="31" t="s">
        <v>20</v>
      </c>
    </row>
    <row r="75" spans="1:14" x14ac:dyDescent="0.25">
      <c r="A75" s="30" t="s">
        <v>204</v>
      </c>
      <c r="B75" s="8">
        <v>45513</v>
      </c>
      <c r="C75" s="9" t="s">
        <v>205</v>
      </c>
      <c r="D75" s="7" t="s">
        <v>130</v>
      </c>
      <c r="E75" s="9" t="s">
        <v>96</v>
      </c>
      <c r="F75" s="7" t="s">
        <v>51</v>
      </c>
      <c r="G75" s="7">
        <v>14</v>
      </c>
      <c r="H75" s="10">
        <v>60</v>
      </c>
      <c r="I75" s="10">
        <v>36</v>
      </c>
      <c r="J75" s="10">
        <v>840</v>
      </c>
      <c r="K75" s="11">
        <v>0</v>
      </c>
      <c r="L75" s="10">
        <v>840</v>
      </c>
      <c r="M75" s="7" t="s">
        <v>26</v>
      </c>
      <c r="N75" s="32" t="s">
        <v>20</v>
      </c>
    </row>
    <row r="76" spans="1:14" x14ac:dyDescent="0.25">
      <c r="A76" s="29" t="s">
        <v>206</v>
      </c>
      <c r="B76" s="3">
        <v>45567</v>
      </c>
      <c r="C76" s="4" t="s">
        <v>207</v>
      </c>
      <c r="D76" s="2" t="s">
        <v>59</v>
      </c>
      <c r="E76" s="4" t="s">
        <v>45</v>
      </c>
      <c r="F76" s="2" t="s">
        <v>46</v>
      </c>
      <c r="G76" s="2">
        <v>14</v>
      </c>
      <c r="H76" s="5">
        <v>450</v>
      </c>
      <c r="I76" s="5">
        <v>247.5</v>
      </c>
      <c r="J76" s="5">
        <v>6300</v>
      </c>
      <c r="K76" s="6">
        <v>5</v>
      </c>
      <c r="L76" s="5">
        <v>5985</v>
      </c>
      <c r="M76" s="2" t="s">
        <v>19</v>
      </c>
      <c r="N76" s="31" t="s">
        <v>32</v>
      </c>
    </row>
    <row r="77" spans="1:14" x14ac:dyDescent="0.25">
      <c r="A77" s="30" t="s">
        <v>208</v>
      </c>
      <c r="B77" s="8">
        <v>45522</v>
      </c>
      <c r="C77" s="9" t="s">
        <v>209</v>
      </c>
      <c r="D77" s="7" t="s">
        <v>117</v>
      </c>
      <c r="E77" s="9" t="s">
        <v>85</v>
      </c>
      <c r="F77" s="7" t="s">
        <v>66</v>
      </c>
      <c r="G77" s="7">
        <v>20</v>
      </c>
      <c r="H77" s="10">
        <v>55</v>
      </c>
      <c r="I77" s="10">
        <v>26.4</v>
      </c>
      <c r="J77" s="10">
        <v>1100</v>
      </c>
      <c r="K77" s="11">
        <v>10</v>
      </c>
      <c r="L77" s="10">
        <v>990</v>
      </c>
      <c r="M77" s="7" t="s">
        <v>47</v>
      </c>
      <c r="N77" s="32" t="s">
        <v>32</v>
      </c>
    </row>
    <row r="78" spans="1:14" x14ac:dyDescent="0.25">
      <c r="A78" s="29" t="s">
        <v>210</v>
      </c>
      <c r="B78" s="3">
        <v>45541</v>
      </c>
      <c r="C78" s="4" t="s">
        <v>211</v>
      </c>
      <c r="D78" s="2" t="s">
        <v>16</v>
      </c>
      <c r="E78" s="4" t="s">
        <v>120</v>
      </c>
      <c r="F78" s="2" t="s">
        <v>66</v>
      </c>
      <c r="G78" s="2">
        <v>11</v>
      </c>
      <c r="H78" s="5">
        <v>45</v>
      </c>
      <c r="I78" s="5">
        <v>21.6</v>
      </c>
      <c r="J78" s="5">
        <v>495</v>
      </c>
      <c r="K78" s="6">
        <v>5</v>
      </c>
      <c r="L78" s="5">
        <v>470.25</v>
      </c>
      <c r="M78" s="2" t="s">
        <v>26</v>
      </c>
      <c r="N78" s="31" t="s">
        <v>32</v>
      </c>
    </row>
    <row r="79" spans="1:14" x14ac:dyDescent="0.25">
      <c r="A79" s="30" t="s">
        <v>212</v>
      </c>
      <c r="B79" s="8">
        <v>45297</v>
      </c>
      <c r="C79" s="9" t="s">
        <v>213</v>
      </c>
      <c r="D79" s="7" t="s">
        <v>44</v>
      </c>
      <c r="E79" s="9" t="s">
        <v>69</v>
      </c>
      <c r="F79" s="7" t="s">
        <v>70</v>
      </c>
      <c r="G79" s="7">
        <v>8</v>
      </c>
      <c r="H79" s="10">
        <v>95</v>
      </c>
      <c r="I79" s="10">
        <v>42.75</v>
      </c>
      <c r="J79" s="10">
        <v>760</v>
      </c>
      <c r="K79" s="11">
        <v>10</v>
      </c>
      <c r="L79" s="10">
        <v>684</v>
      </c>
      <c r="M79" s="7" t="s">
        <v>26</v>
      </c>
      <c r="N79" s="32" t="s">
        <v>32</v>
      </c>
    </row>
    <row r="80" spans="1:14" x14ac:dyDescent="0.25">
      <c r="A80" s="29" t="s">
        <v>214</v>
      </c>
      <c r="B80" s="3">
        <v>45656</v>
      </c>
      <c r="C80" s="4" t="s">
        <v>155</v>
      </c>
      <c r="D80" s="2" t="s">
        <v>23</v>
      </c>
      <c r="E80" s="4" t="s">
        <v>60</v>
      </c>
      <c r="F80" s="2" t="s">
        <v>25</v>
      </c>
      <c r="G80" s="2">
        <v>3</v>
      </c>
      <c r="H80" s="5">
        <v>55</v>
      </c>
      <c r="I80" s="5">
        <v>27.5</v>
      </c>
      <c r="J80" s="5">
        <v>165</v>
      </c>
      <c r="K80" s="6">
        <v>5</v>
      </c>
      <c r="L80" s="5">
        <v>156.75</v>
      </c>
      <c r="M80" s="2" t="s">
        <v>26</v>
      </c>
      <c r="N80" s="31" t="s">
        <v>20</v>
      </c>
    </row>
    <row r="81" spans="1:14" x14ac:dyDescent="0.25">
      <c r="A81" s="30" t="s">
        <v>215</v>
      </c>
      <c r="B81" s="8">
        <v>45589</v>
      </c>
      <c r="C81" s="9" t="s">
        <v>175</v>
      </c>
      <c r="D81" s="7" t="s">
        <v>54</v>
      </c>
      <c r="E81" s="9" t="s">
        <v>96</v>
      </c>
      <c r="F81" s="7" t="s">
        <v>51</v>
      </c>
      <c r="G81" s="7">
        <v>17</v>
      </c>
      <c r="H81" s="10">
        <v>60</v>
      </c>
      <c r="I81" s="10">
        <v>36</v>
      </c>
      <c r="J81" s="10">
        <v>1020</v>
      </c>
      <c r="K81" s="11">
        <v>10</v>
      </c>
      <c r="L81" s="10">
        <v>918</v>
      </c>
      <c r="M81" s="7" t="s">
        <v>26</v>
      </c>
      <c r="N81" s="32" t="s">
        <v>20</v>
      </c>
    </row>
    <row r="82" spans="1:14" x14ac:dyDescent="0.25">
      <c r="A82" s="29" t="s">
        <v>216</v>
      </c>
      <c r="B82" s="3">
        <v>45651</v>
      </c>
      <c r="C82" s="4" t="s">
        <v>217</v>
      </c>
      <c r="D82" s="2" t="s">
        <v>16</v>
      </c>
      <c r="E82" s="4" t="s">
        <v>196</v>
      </c>
      <c r="F82" s="2" t="s">
        <v>25</v>
      </c>
      <c r="G82" s="2">
        <v>9</v>
      </c>
      <c r="H82" s="5">
        <v>75</v>
      </c>
      <c r="I82" s="5">
        <v>37.5</v>
      </c>
      <c r="J82" s="5">
        <v>675</v>
      </c>
      <c r="K82" s="6">
        <v>5</v>
      </c>
      <c r="L82" s="5">
        <v>641.25</v>
      </c>
      <c r="M82" s="2" t="s">
        <v>19</v>
      </c>
      <c r="N82" s="31" t="s">
        <v>20</v>
      </c>
    </row>
    <row r="83" spans="1:14" x14ac:dyDescent="0.25">
      <c r="A83" s="30" t="s">
        <v>218</v>
      </c>
      <c r="B83" s="8">
        <v>45566</v>
      </c>
      <c r="C83" s="9" t="s">
        <v>219</v>
      </c>
      <c r="D83" s="7" t="s">
        <v>130</v>
      </c>
      <c r="E83" s="9" t="s">
        <v>88</v>
      </c>
      <c r="F83" s="7" t="s">
        <v>46</v>
      </c>
      <c r="G83" s="7">
        <v>7</v>
      </c>
      <c r="H83" s="10">
        <v>55</v>
      </c>
      <c r="I83" s="10">
        <v>30.25</v>
      </c>
      <c r="J83" s="10">
        <v>385</v>
      </c>
      <c r="K83" s="11">
        <v>5</v>
      </c>
      <c r="L83" s="10">
        <v>365.75</v>
      </c>
      <c r="M83" s="7" t="s">
        <v>19</v>
      </c>
      <c r="N83" s="32" t="s">
        <v>32</v>
      </c>
    </row>
    <row r="84" spans="1:14" x14ac:dyDescent="0.25">
      <c r="A84" s="29" t="s">
        <v>220</v>
      </c>
      <c r="B84" s="3">
        <v>45560</v>
      </c>
      <c r="C84" s="4" t="s">
        <v>221</v>
      </c>
      <c r="D84" s="2" t="s">
        <v>44</v>
      </c>
      <c r="E84" s="4" t="s">
        <v>79</v>
      </c>
      <c r="F84" s="2" t="s">
        <v>70</v>
      </c>
      <c r="G84" s="2">
        <v>7</v>
      </c>
      <c r="H84" s="5">
        <v>70</v>
      </c>
      <c r="I84" s="5">
        <v>31.5</v>
      </c>
      <c r="J84" s="5">
        <v>490</v>
      </c>
      <c r="K84" s="6">
        <v>5</v>
      </c>
      <c r="L84" s="5">
        <v>465.5</v>
      </c>
      <c r="M84" s="2" t="s">
        <v>19</v>
      </c>
      <c r="N84" s="31" t="s">
        <v>20</v>
      </c>
    </row>
    <row r="85" spans="1:14" x14ac:dyDescent="0.25">
      <c r="A85" s="30" t="s">
        <v>222</v>
      </c>
      <c r="B85" s="8">
        <v>45565</v>
      </c>
      <c r="C85" s="9" t="s">
        <v>203</v>
      </c>
      <c r="D85" s="7" t="s">
        <v>23</v>
      </c>
      <c r="E85" s="9" t="s">
        <v>120</v>
      </c>
      <c r="F85" s="7" t="s">
        <v>66</v>
      </c>
      <c r="G85" s="7">
        <v>2</v>
      </c>
      <c r="H85" s="10">
        <v>45</v>
      </c>
      <c r="I85" s="10">
        <v>21.6</v>
      </c>
      <c r="J85" s="10">
        <v>90</v>
      </c>
      <c r="K85" s="11">
        <v>20</v>
      </c>
      <c r="L85" s="10">
        <v>72</v>
      </c>
      <c r="M85" s="7" t="s">
        <v>26</v>
      </c>
      <c r="N85" s="32" t="s">
        <v>20</v>
      </c>
    </row>
    <row r="86" spans="1:14" x14ac:dyDescent="0.25">
      <c r="A86" s="29" t="s">
        <v>223</v>
      </c>
      <c r="B86" s="3">
        <v>45298</v>
      </c>
      <c r="C86" s="4" t="s">
        <v>224</v>
      </c>
      <c r="D86" s="2" t="s">
        <v>59</v>
      </c>
      <c r="E86" s="4" t="s">
        <v>79</v>
      </c>
      <c r="F86" s="2" t="s">
        <v>70</v>
      </c>
      <c r="G86" s="2">
        <v>16</v>
      </c>
      <c r="H86" s="5">
        <v>70</v>
      </c>
      <c r="I86" s="5">
        <v>31.5</v>
      </c>
      <c r="J86" s="5">
        <v>1120</v>
      </c>
      <c r="K86" s="6">
        <v>15</v>
      </c>
      <c r="L86" s="5">
        <v>952</v>
      </c>
      <c r="M86" s="2" t="s">
        <v>26</v>
      </c>
      <c r="N86" s="31" t="s">
        <v>20</v>
      </c>
    </row>
    <row r="87" spans="1:14" x14ac:dyDescent="0.25">
      <c r="A87" s="30" t="s">
        <v>225</v>
      </c>
      <c r="B87" s="8">
        <v>45536</v>
      </c>
      <c r="C87" s="9" t="s">
        <v>226</v>
      </c>
      <c r="D87" s="7" t="s">
        <v>29</v>
      </c>
      <c r="E87" s="9" t="s">
        <v>93</v>
      </c>
      <c r="F87" s="7" t="s">
        <v>18</v>
      </c>
      <c r="G87" s="7">
        <v>16</v>
      </c>
      <c r="H87" s="10">
        <v>85</v>
      </c>
      <c r="I87" s="10">
        <v>44.2</v>
      </c>
      <c r="J87" s="10">
        <v>1360</v>
      </c>
      <c r="K87" s="11">
        <v>0</v>
      </c>
      <c r="L87" s="10">
        <v>1360</v>
      </c>
      <c r="M87" s="7" t="s">
        <v>26</v>
      </c>
      <c r="N87" s="32" t="s">
        <v>20</v>
      </c>
    </row>
    <row r="88" spans="1:14" x14ac:dyDescent="0.25">
      <c r="A88" s="29" t="s">
        <v>227</v>
      </c>
      <c r="B88" s="3">
        <v>45580</v>
      </c>
      <c r="C88" s="4" t="s">
        <v>228</v>
      </c>
      <c r="D88" s="2" t="s">
        <v>75</v>
      </c>
      <c r="E88" s="4" t="s">
        <v>229</v>
      </c>
      <c r="F88" s="2" t="s">
        <v>51</v>
      </c>
      <c r="G88" s="2">
        <v>4</v>
      </c>
      <c r="H88" s="5">
        <v>850</v>
      </c>
      <c r="I88" s="5">
        <v>510</v>
      </c>
      <c r="J88" s="5">
        <v>3400</v>
      </c>
      <c r="K88" s="6">
        <v>20</v>
      </c>
      <c r="L88" s="5">
        <v>2720</v>
      </c>
      <c r="M88" s="2" t="s">
        <v>26</v>
      </c>
      <c r="N88" s="31" t="s">
        <v>20</v>
      </c>
    </row>
    <row r="89" spans="1:14" x14ac:dyDescent="0.25">
      <c r="A89" s="30" t="s">
        <v>230</v>
      </c>
      <c r="B89" s="8">
        <v>45559</v>
      </c>
      <c r="C89" s="9" t="s">
        <v>231</v>
      </c>
      <c r="D89" s="7" t="s">
        <v>59</v>
      </c>
      <c r="E89" s="9" t="s">
        <v>60</v>
      </c>
      <c r="F89" s="7" t="s">
        <v>25</v>
      </c>
      <c r="G89" s="7">
        <v>10</v>
      </c>
      <c r="H89" s="10">
        <v>55</v>
      </c>
      <c r="I89" s="10">
        <v>27.5</v>
      </c>
      <c r="J89" s="10">
        <v>550</v>
      </c>
      <c r="K89" s="11">
        <v>10</v>
      </c>
      <c r="L89" s="10">
        <v>495</v>
      </c>
      <c r="M89" s="7" t="s">
        <v>26</v>
      </c>
      <c r="N89" s="32" t="s">
        <v>20</v>
      </c>
    </row>
    <row r="90" spans="1:14" x14ac:dyDescent="0.25">
      <c r="A90" s="29" t="s">
        <v>232</v>
      </c>
      <c r="B90" s="3">
        <v>45342</v>
      </c>
      <c r="C90" s="4" t="s">
        <v>233</v>
      </c>
      <c r="D90" s="2" t="s">
        <v>75</v>
      </c>
      <c r="E90" s="4" t="s">
        <v>234</v>
      </c>
      <c r="F90" s="2" t="s">
        <v>46</v>
      </c>
      <c r="G90" s="2">
        <v>9</v>
      </c>
      <c r="H90" s="5">
        <v>30</v>
      </c>
      <c r="I90" s="5">
        <v>16.5</v>
      </c>
      <c r="J90" s="5">
        <v>270</v>
      </c>
      <c r="K90" s="6">
        <v>0</v>
      </c>
      <c r="L90" s="5">
        <v>270</v>
      </c>
      <c r="M90" s="2" t="s">
        <v>19</v>
      </c>
      <c r="N90" s="31" t="s">
        <v>32</v>
      </c>
    </row>
    <row r="91" spans="1:14" x14ac:dyDescent="0.25">
      <c r="A91" s="30" t="s">
        <v>235</v>
      </c>
      <c r="B91" s="8">
        <v>45293</v>
      </c>
      <c r="C91" s="9" t="s">
        <v>236</v>
      </c>
      <c r="D91" s="7" t="s">
        <v>117</v>
      </c>
      <c r="E91" s="9" t="s">
        <v>60</v>
      </c>
      <c r="F91" s="7" t="s">
        <v>25</v>
      </c>
      <c r="G91" s="7">
        <v>16</v>
      </c>
      <c r="H91" s="10">
        <v>55</v>
      </c>
      <c r="I91" s="10">
        <v>27.5</v>
      </c>
      <c r="J91" s="10">
        <v>880</v>
      </c>
      <c r="K91" s="11">
        <v>5</v>
      </c>
      <c r="L91" s="10">
        <v>836</v>
      </c>
      <c r="M91" s="7" t="s">
        <v>19</v>
      </c>
      <c r="N91" s="32" t="s">
        <v>20</v>
      </c>
    </row>
    <row r="92" spans="1:14" x14ac:dyDescent="0.25">
      <c r="A92" s="29" t="s">
        <v>237</v>
      </c>
      <c r="B92" s="3">
        <v>45524</v>
      </c>
      <c r="C92" s="4" t="s">
        <v>238</v>
      </c>
      <c r="D92" s="2" t="s">
        <v>16</v>
      </c>
      <c r="E92" s="4" t="s">
        <v>126</v>
      </c>
      <c r="F92" s="2" t="s">
        <v>18</v>
      </c>
      <c r="G92" s="2">
        <v>19</v>
      </c>
      <c r="H92" s="5">
        <v>120</v>
      </c>
      <c r="I92" s="5">
        <v>62.4</v>
      </c>
      <c r="J92" s="5">
        <v>2280</v>
      </c>
      <c r="K92" s="6">
        <v>5</v>
      </c>
      <c r="L92" s="5">
        <v>2166</v>
      </c>
      <c r="M92" s="2" t="s">
        <v>47</v>
      </c>
      <c r="N92" s="31" t="s">
        <v>20</v>
      </c>
    </row>
    <row r="93" spans="1:14" x14ac:dyDescent="0.25">
      <c r="A93" s="30" t="s">
        <v>239</v>
      </c>
      <c r="B93" s="8">
        <v>45428</v>
      </c>
      <c r="C93" s="9" t="s">
        <v>240</v>
      </c>
      <c r="D93" s="7" t="s">
        <v>44</v>
      </c>
      <c r="E93" s="9" t="s">
        <v>234</v>
      </c>
      <c r="F93" s="7" t="s">
        <v>46</v>
      </c>
      <c r="G93" s="7">
        <v>2</v>
      </c>
      <c r="H93" s="10">
        <v>30</v>
      </c>
      <c r="I93" s="10">
        <v>16.5</v>
      </c>
      <c r="J93" s="10">
        <v>60</v>
      </c>
      <c r="K93" s="11">
        <v>0</v>
      </c>
      <c r="L93" s="10">
        <v>60</v>
      </c>
      <c r="M93" s="7" t="s">
        <v>47</v>
      </c>
      <c r="N93" s="32" t="s">
        <v>32</v>
      </c>
    </row>
    <row r="94" spans="1:14" x14ac:dyDescent="0.25">
      <c r="A94" s="29" t="s">
        <v>241</v>
      </c>
      <c r="B94" s="3">
        <v>45439</v>
      </c>
      <c r="C94" s="4" t="s">
        <v>242</v>
      </c>
      <c r="D94" s="2" t="s">
        <v>59</v>
      </c>
      <c r="E94" s="4" t="s">
        <v>24</v>
      </c>
      <c r="F94" s="2" t="s">
        <v>25</v>
      </c>
      <c r="G94" s="2">
        <v>10</v>
      </c>
      <c r="H94" s="5">
        <v>40</v>
      </c>
      <c r="I94" s="5">
        <v>20</v>
      </c>
      <c r="J94" s="5">
        <v>400</v>
      </c>
      <c r="K94" s="6">
        <v>10</v>
      </c>
      <c r="L94" s="5">
        <v>360</v>
      </c>
      <c r="M94" s="2" t="s">
        <v>47</v>
      </c>
      <c r="N94" s="31" t="s">
        <v>32</v>
      </c>
    </row>
    <row r="95" spans="1:14" x14ac:dyDescent="0.25">
      <c r="A95" s="30" t="s">
        <v>243</v>
      </c>
      <c r="B95" s="8">
        <v>45333</v>
      </c>
      <c r="C95" s="9" t="s">
        <v>244</v>
      </c>
      <c r="D95" s="7" t="s">
        <v>29</v>
      </c>
      <c r="E95" s="9" t="s">
        <v>69</v>
      </c>
      <c r="F95" s="7" t="s">
        <v>70</v>
      </c>
      <c r="G95" s="7">
        <v>11</v>
      </c>
      <c r="H95" s="10">
        <v>95</v>
      </c>
      <c r="I95" s="10">
        <v>42.75</v>
      </c>
      <c r="J95" s="10">
        <v>1045</v>
      </c>
      <c r="K95" s="11">
        <v>5</v>
      </c>
      <c r="L95" s="10">
        <v>992.75</v>
      </c>
      <c r="M95" s="7" t="s">
        <v>19</v>
      </c>
      <c r="N95" s="32" t="s">
        <v>20</v>
      </c>
    </row>
    <row r="96" spans="1:14" x14ac:dyDescent="0.25">
      <c r="A96" s="29" t="s">
        <v>245</v>
      </c>
      <c r="B96" s="3">
        <v>45302</v>
      </c>
      <c r="C96" s="4" t="s">
        <v>246</v>
      </c>
      <c r="D96" s="2" t="s">
        <v>16</v>
      </c>
      <c r="E96" s="4" t="s">
        <v>88</v>
      </c>
      <c r="F96" s="2" t="s">
        <v>46</v>
      </c>
      <c r="G96" s="2">
        <v>19</v>
      </c>
      <c r="H96" s="5">
        <v>55</v>
      </c>
      <c r="I96" s="5">
        <v>30.25</v>
      </c>
      <c r="J96" s="5">
        <v>1045</v>
      </c>
      <c r="K96" s="6">
        <v>0</v>
      </c>
      <c r="L96" s="5">
        <v>1045</v>
      </c>
      <c r="M96" s="2" t="s">
        <v>19</v>
      </c>
      <c r="N96" s="31" t="s">
        <v>32</v>
      </c>
    </row>
    <row r="97" spans="1:14" x14ac:dyDescent="0.25">
      <c r="A97" s="30" t="s">
        <v>247</v>
      </c>
      <c r="B97" s="8">
        <v>45518</v>
      </c>
      <c r="C97" s="9" t="s">
        <v>248</v>
      </c>
      <c r="D97" s="7" t="s">
        <v>117</v>
      </c>
      <c r="E97" s="9" t="s">
        <v>50</v>
      </c>
      <c r="F97" s="7" t="s">
        <v>51</v>
      </c>
      <c r="G97" s="7">
        <v>14</v>
      </c>
      <c r="H97" s="10">
        <v>120</v>
      </c>
      <c r="I97" s="10">
        <v>72</v>
      </c>
      <c r="J97" s="10">
        <v>1680</v>
      </c>
      <c r="K97" s="11">
        <v>15</v>
      </c>
      <c r="L97" s="10">
        <v>1428</v>
      </c>
      <c r="M97" s="7" t="s">
        <v>47</v>
      </c>
      <c r="N97" s="32" t="s">
        <v>32</v>
      </c>
    </row>
    <row r="98" spans="1:14" x14ac:dyDescent="0.25">
      <c r="A98" s="29" t="s">
        <v>249</v>
      </c>
      <c r="B98" s="3">
        <v>45456</v>
      </c>
      <c r="C98" s="4" t="s">
        <v>181</v>
      </c>
      <c r="D98" s="2" t="s">
        <v>130</v>
      </c>
      <c r="E98" s="4" t="s">
        <v>164</v>
      </c>
      <c r="F98" s="2" t="s">
        <v>31</v>
      </c>
      <c r="G98" s="2">
        <v>11</v>
      </c>
      <c r="H98" s="5">
        <v>85</v>
      </c>
      <c r="I98" s="5">
        <v>39.950000000000003</v>
      </c>
      <c r="J98" s="5">
        <v>935</v>
      </c>
      <c r="K98" s="6">
        <v>10</v>
      </c>
      <c r="L98" s="5">
        <v>841.5</v>
      </c>
      <c r="M98" s="2" t="s">
        <v>19</v>
      </c>
      <c r="N98" s="31" t="s">
        <v>32</v>
      </c>
    </row>
    <row r="99" spans="1:14" x14ac:dyDescent="0.25">
      <c r="A99" s="30" t="s">
        <v>250</v>
      </c>
      <c r="B99" s="8">
        <v>45573</v>
      </c>
      <c r="C99" s="9" t="s">
        <v>181</v>
      </c>
      <c r="D99" s="7" t="s">
        <v>44</v>
      </c>
      <c r="E99" s="9" t="s">
        <v>123</v>
      </c>
      <c r="F99" s="7" t="s">
        <v>18</v>
      </c>
      <c r="G99" s="7">
        <v>11</v>
      </c>
      <c r="H99" s="10">
        <v>75</v>
      </c>
      <c r="I99" s="10">
        <v>39</v>
      </c>
      <c r="J99" s="10">
        <v>825</v>
      </c>
      <c r="K99" s="11">
        <v>5</v>
      </c>
      <c r="L99" s="10">
        <v>783.75</v>
      </c>
      <c r="M99" s="7" t="s">
        <v>26</v>
      </c>
      <c r="N99" s="32" t="s">
        <v>20</v>
      </c>
    </row>
    <row r="100" spans="1:14" x14ac:dyDescent="0.25">
      <c r="A100" s="29" t="s">
        <v>251</v>
      </c>
      <c r="B100" s="3">
        <v>45555</v>
      </c>
      <c r="C100" s="4" t="s">
        <v>252</v>
      </c>
      <c r="D100" s="2" t="s">
        <v>54</v>
      </c>
      <c r="E100" s="4" t="s">
        <v>234</v>
      </c>
      <c r="F100" s="2" t="s">
        <v>46</v>
      </c>
      <c r="G100" s="2">
        <v>15</v>
      </c>
      <c r="H100" s="5">
        <v>30</v>
      </c>
      <c r="I100" s="5">
        <v>16.5</v>
      </c>
      <c r="J100" s="5">
        <v>450</v>
      </c>
      <c r="K100" s="6">
        <v>10</v>
      </c>
      <c r="L100" s="5">
        <v>405</v>
      </c>
      <c r="M100" s="2" t="s">
        <v>47</v>
      </c>
      <c r="N100" s="31" t="s">
        <v>20</v>
      </c>
    </row>
    <row r="101" spans="1:14" x14ac:dyDescent="0.25">
      <c r="A101" s="30" t="s">
        <v>253</v>
      </c>
      <c r="B101" s="8">
        <v>45547</v>
      </c>
      <c r="C101" s="9" t="s">
        <v>87</v>
      </c>
      <c r="D101" s="7" t="s">
        <v>23</v>
      </c>
      <c r="E101" s="9" t="s">
        <v>36</v>
      </c>
      <c r="F101" s="7" t="s">
        <v>31</v>
      </c>
      <c r="G101" s="7">
        <v>7</v>
      </c>
      <c r="H101" s="10">
        <v>65</v>
      </c>
      <c r="I101" s="10">
        <v>30.55</v>
      </c>
      <c r="J101" s="10">
        <v>455</v>
      </c>
      <c r="K101" s="11">
        <v>5</v>
      </c>
      <c r="L101" s="10">
        <v>432.25</v>
      </c>
      <c r="M101" s="7" t="s">
        <v>26</v>
      </c>
      <c r="N101" s="32" t="s">
        <v>32</v>
      </c>
    </row>
    <row r="102" spans="1:14" x14ac:dyDescent="0.25">
      <c r="A102" s="29" t="s">
        <v>254</v>
      </c>
      <c r="B102" s="3">
        <v>45649</v>
      </c>
      <c r="C102" s="4" t="s">
        <v>255</v>
      </c>
      <c r="D102" s="2" t="s">
        <v>23</v>
      </c>
      <c r="E102" s="4" t="s">
        <v>24</v>
      </c>
      <c r="F102" s="2" t="s">
        <v>25</v>
      </c>
      <c r="G102" s="2">
        <v>20</v>
      </c>
      <c r="H102" s="5">
        <v>40</v>
      </c>
      <c r="I102" s="5">
        <v>20</v>
      </c>
      <c r="J102" s="5">
        <v>800</v>
      </c>
      <c r="K102" s="6">
        <v>5</v>
      </c>
      <c r="L102" s="5">
        <v>760</v>
      </c>
      <c r="M102" s="2" t="s">
        <v>47</v>
      </c>
      <c r="N102" s="31" t="s">
        <v>32</v>
      </c>
    </row>
    <row r="103" spans="1:14" x14ac:dyDescent="0.25">
      <c r="A103" s="30" t="s">
        <v>256</v>
      </c>
      <c r="B103" s="8">
        <v>45500</v>
      </c>
      <c r="C103" s="9" t="s">
        <v>257</v>
      </c>
      <c r="D103" s="7" t="s">
        <v>44</v>
      </c>
      <c r="E103" s="9" t="s">
        <v>126</v>
      </c>
      <c r="F103" s="7" t="s">
        <v>18</v>
      </c>
      <c r="G103" s="7">
        <v>15</v>
      </c>
      <c r="H103" s="10">
        <v>120</v>
      </c>
      <c r="I103" s="10">
        <v>62.4</v>
      </c>
      <c r="J103" s="10">
        <v>1800</v>
      </c>
      <c r="K103" s="11">
        <v>0</v>
      </c>
      <c r="L103" s="10">
        <v>1800</v>
      </c>
      <c r="M103" s="7" t="s">
        <v>19</v>
      </c>
      <c r="N103" s="32" t="s">
        <v>20</v>
      </c>
    </row>
    <row r="104" spans="1:14" x14ac:dyDescent="0.25">
      <c r="A104" s="29" t="s">
        <v>258</v>
      </c>
      <c r="B104" s="3">
        <v>45653</v>
      </c>
      <c r="C104" s="4" t="s">
        <v>84</v>
      </c>
      <c r="D104" s="2" t="s">
        <v>59</v>
      </c>
      <c r="E104" s="4" t="s">
        <v>96</v>
      </c>
      <c r="F104" s="2" t="s">
        <v>51</v>
      </c>
      <c r="G104" s="2">
        <v>16</v>
      </c>
      <c r="H104" s="5">
        <v>60</v>
      </c>
      <c r="I104" s="5">
        <v>36</v>
      </c>
      <c r="J104" s="5">
        <v>960</v>
      </c>
      <c r="K104" s="6">
        <v>5</v>
      </c>
      <c r="L104" s="5">
        <v>912</v>
      </c>
      <c r="M104" s="2" t="s">
        <v>19</v>
      </c>
      <c r="N104" s="31" t="s">
        <v>20</v>
      </c>
    </row>
    <row r="105" spans="1:14" x14ac:dyDescent="0.25">
      <c r="A105" s="30" t="s">
        <v>259</v>
      </c>
      <c r="B105" s="8">
        <v>45598</v>
      </c>
      <c r="C105" s="9" t="s">
        <v>260</v>
      </c>
      <c r="D105" s="7" t="s">
        <v>130</v>
      </c>
      <c r="E105" s="9" t="s">
        <v>76</v>
      </c>
      <c r="F105" s="7" t="s">
        <v>70</v>
      </c>
      <c r="G105" s="7">
        <v>3</v>
      </c>
      <c r="H105" s="10">
        <v>110</v>
      </c>
      <c r="I105" s="10">
        <v>49.5</v>
      </c>
      <c r="J105" s="10">
        <v>330</v>
      </c>
      <c r="K105" s="11">
        <v>5</v>
      </c>
      <c r="L105" s="10">
        <v>313.5</v>
      </c>
      <c r="M105" s="7" t="s">
        <v>26</v>
      </c>
      <c r="N105" s="32" t="s">
        <v>32</v>
      </c>
    </row>
    <row r="106" spans="1:14" x14ac:dyDescent="0.25">
      <c r="A106" s="29" t="s">
        <v>261</v>
      </c>
      <c r="B106" s="3">
        <v>45551</v>
      </c>
      <c r="C106" s="4" t="s">
        <v>262</v>
      </c>
      <c r="D106" s="2" t="s">
        <v>16</v>
      </c>
      <c r="E106" s="4" t="s">
        <v>229</v>
      </c>
      <c r="F106" s="2" t="s">
        <v>51</v>
      </c>
      <c r="G106" s="2">
        <v>10</v>
      </c>
      <c r="H106" s="5">
        <v>850</v>
      </c>
      <c r="I106" s="5">
        <v>510</v>
      </c>
      <c r="J106" s="5">
        <v>8500</v>
      </c>
      <c r="K106" s="6">
        <v>15</v>
      </c>
      <c r="L106" s="5">
        <v>7225</v>
      </c>
      <c r="M106" s="2" t="s">
        <v>47</v>
      </c>
      <c r="N106" s="31" t="s">
        <v>20</v>
      </c>
    </row>
    <row r="107" spans="1:14" x14ac:dyDescent="0.25">
      <c r="A107" s="30" t="s">
        <v>263</v>
      </c>
      <c r="B107" s="8">
        <v>45462</v>
      </c>
      <c r="C107" s="9" t="s">
        <v>90</v>
      </c>
      <c r="D107" s="7" t="s">
        <v>29</v>
      </c>
      <c r="E107" s="9" t="s">
        <v>76</v>
      </c>
      <c r="F107" s="7" t="s">
        <v>70</v>
      </c>
      <c r="G107" s="7">
        <v>15</v>
      </c>
      <c r="H107" s="10">
        <v>110</v>
      </c>
      <c r="I107" s="10">
        <v>49.5</v>
      </c>
      <c r="J107" s="10">
        <v>1650</v>
      </c>
      <c r="K107" s="11">
        <v>10</v>
      </c>
      <c r="L107" s="10">
        <v>1485</v>
      </c>
      <c r="M107" s="7" t="s">
        <v>26</v>
      </c>
      <c r="N107" s="32" t="s">
        <v>32</v>
      </c>
    </row>
    <row r="108" spans="1:14" x14ac:dyDescent="0.25">
      <c r="A108" s="29" t="s">
        <v>264</v>
      </c>
      <c r="B108" s="3">
        <v>45488</v>
      </c>
      <c r="C108" s="4" t="s">
        <v>157</v>
      </c>
      <c r="D108" s="2" t="s">
        <v>23</v>
      </c>
      <c r="E108" s="4" t="s">
        <v>85</v>
      </c>
      <c r="F108" s="2" t="s">
        <v>66</v>
      </c>
      <c r="G108" s="2">
        <v>11</v>
      </c>
      <c r="H108" s="5">
        <v>55</v>
      </c>
      <c r="I108" s="5">
        <v>26.4</v>
      </c>
      <c r="J108" s="5">
        <v>605</v>
      </c>
      <c r="K108" s="6">
        <v>15</v>
      </c>
      <c r="L108" s="5">
        <v>514.25</v>
      </c>
      <c r="M108" s="2" t="s">
        <v>26</v>
      </c>
      <c r="N108" s="31" t="s">
        <v>32</v>
      </c>
    </row>
    <row r="109" spans="1:14" x14ac:dyDescent="0.25">
      <c r="A109" s="30" t="s">
        <v>265</v>
      </c>
      <c r="B109" s="8">
        <v>45625</v>
      </c>
      <c r="C109" s="9" t="s">
        <v>266</v>
      </c>
      <c r="D109" s="7" t="s">
        <v>23</v>
      </c>
      <c r="E109" s="9" t="s">
        <v>85</v>
      </c>
      <c r="F109" s="7" t="s">
        <v>66</v>
      </c>
      <c r="G109" s="7">
        <v>5</v>
      </c>
      <c r="H109" s="10">
        <v>55</v>
      </c>
      <c r="I109" s="10">
        <v>26.4</v>
      </c>
      <c r="J109" s="10">
        <v>275</v>
      </c>
      <c r="K109" s="11">
        <v>20</v>
      </c>
      <c r="L109" s="10">
        <v>220</v>
      </c>
      <c r="M109" s="7" t="s">
        <v>47</v>
      </c>
      <c r="N109" s="32" t="s">
        <v>32</v>
      </c>
    </row>
    <row r="110" spans="1:14" x14ac:dyDescent="0.25">
      <c r="A110" s="29" t="s">
        <v>267</v>
      </c>
      <c r="B110" s="3">
        <v>45517</v>
      </c>
      <c r="C110" s="4" t="s">
        <v>268</v>
      </c>
      <c r="D110" s="2" t="s">
        <v>59</v>
      </c>
      <c r="E110" s="4" t="s">
        <v>41</v>
      </c>
      <c r="F110" s="2" t="s">
        <v>18</v>
      </c>
      <c r="G110" s="2">
        <v>1</v>
      </c>
      <c r="H110" s="5">
        <v>150</v>
      </c>
      <c r="I110" s="5">
        <v>78</v>
      </c>
      <c r="J110" s="5">
        <v>150</v>
      </c>
      <c r="K110" s="6">
        <v>0</v>
      </c>
      <c r="L110" s="5">
        <v>150</v>
      </c>
      <c r="M110" s="2" t="s">
        <v>26</v>
      </c>
      <c r="N110" s="31" t="s">
        <v>20</v>
      </c>
    </row>
    <row r="111" spans="1:14" x14ac:dyDescent="0.25">
      <c r="A111" s="30" t="s">
        <v>269</v>
      </c>
      <c r="B111" s="8">
        <v>45532</v>
      </c>
      <c r="C111" s="9" t="s">
        <v>270</v>
      </c>
      <c r="D111" s="7" t="s">
        <v>35</v>
      </c>
      <c r="E111" s="9" t="s">
        <v>45</v>
      </c>
      <c r="F111" s="7" t="s">
        <v>46</v>
      </c>
      <c r="G111" s="7">
        <v>20</v>
      </c>
      <c r="H111" s="10">
        <v>450</v>
      </c>
      <c r="I111" s="10">
        <v>247.5</v>
      </c>
      <c r="J111" s="10">
        <v>9000</v>
      </c>
      <c r="K111" s="11">
        <v>10</v>
      </c>
      <c r="L111" s="10">
        <v>8100</v>
      </c>
      <c r="M111" s="7" t="s">
        <v>26</v>
      </c>
      <c r="N111" s="32" t="s">
        <v>32</v>
      </c>
    </row>
    <row r="112" spans="1:14" x14ac:dyDescent="0.25">
      <c r="A112" s="29" t="s">
        <v>271</v>
      </c>
      <c r="B112" s="3">
        <v>45454</v>
      </c>
      <c r="C112" s="4" t="s">
        <v>78</v>
      </c>
      <c r="D112" s="2" t="s">
        <v>59</v>
      </c>
      <c r="E112" s="4" t="s">
        <v>30</v>
      </c>
      <c r="F112" s="2" t="s">
        <v>31</v>
      </c>
      <c r="G112" s="2">
        <v>18</v>
      </c>
      <c r="H112" s="5">
        <v>72</v>
      </c>
      <c r="I112" s="5">
        <v>33.840000000000003</v>
      </c>
      <c r="J112" s="5">
        <v>1296</v>
      </c>
      <c r="K112" s="6">
        <v>0</v>
      </c>
      <c r="L112" s="5">
        <v>1296</v>
      </c>
      <c r="M112" s="2" t="s">
        <v>19</v>
      </c>
      <c r="N112" s="31" t="s">
        <v>32</v>
      </c>
    </row>
    <row r="113" spans="1:14" x14ac:dyDescent="0.25">
      <c r="A113" s="30" t="s">
        <v>272</v>
      </c>
      <c r="B113" s="8">
        <v>45338</v>
      </c>
      <c r="C113" s="9" t="s">
        <v>200</v>
      </c>
      <c r="D113" s="7" t="s">
        <v>44</v>
      </c>
      <c r="E113" s="9" t="s">
        <v>24</v>
      </c>
      <c r="F113" s="7" t="s">
        <v>25</v>
      </c>
      <c r="G113" s="7">
        <v>15</v>
      </c>
      <c r="H113" s="10">
        <v>40</v>
      </c>
      <c r="I113" s="10">
        <v>20</v>
      </c>
      <c r="J113" s="10">
        <v>600</v>
      </c>
      <c r="K113" s="11">
        <v>0</v>
      </c>
      <c r="L113" s="10">
        <v>600</v>
      </c>
      <c r="M113" s="7" t="s">
        <v>26</v>
      </c>
      <c r="N113" s="32" t="s">
        <v>32</v>
      </c>
    </row>
    <row r="114" spans="1:14" x14ac:dyDescent="0.25">
      <c r="A114" s="29" t="s">
        <v>273</v>
      </c>
      <c r="B114" s="3">
        <v>45320</v>
      </c>
      <c r="C114" s="4" t="s">
        <v>274</v>
      </c>
      <c r="D114" s="2" t="s">
        <v>35</v>
      </c>
      <c r="E114" s="4" t="s">
        <v>275</v>
      </c>
      <c r="F114" s="2" t="s">
        <v>51</v>
      </c>
      <c r="G114" s="2">
        <v>14</v>
      </c>
      <c r="H114" s="5">
        <v>95</v>
      </c>
      <c r="I114" s="5">
        <v>57</v>
      </c>
      <c r="J114" s="5">
        <v>1330</v>
      </c>
      <c r="K114" s="6">
        <v>0</v>
      </c>
      <c r="L114" s="5">
        <v>1330</v>
      </c>
      <c r="M114" s="2" t="s">
        <v>47</v>
      </c>
      <c r="N114" s="31" t="s">
        <v>20</v>
      </c>
    </row>
    <row r="115" spans="1:14" x14ac:dyDescent="0.25">
      <c r="A115" s="30" t="s">
        <v>276</v>
      </c>
      <c r="B115" s="8">
        <v>45381</v>
      </c>
      <c r="C115" s="9" t="s">
        <v>277</v>
      </c>
      <c r="D115" s="7" t="s">
        <v>29</v>
      </c>
      <c r="E115" s="9" t="s">
        <v>151</v>
      </c>
      <c r="F115" s="7" t="s">
        <v>18</v>
      </c>
      <c r="G115" s="7">
        <v>20</v>
      </c>
      <c r="H115" s="10">
        <v>95</v>
      </c>
      <c r="I115" s="10">
        <v>49.4</v>
      </c>
      <c r="J115" s="10">
        <v>1900</v>
      </c>
      <c r="K115" s="11">
        <v>5</v>
      </c>
      <c r="L115" s="10">
        <v>1805</v>
      </c>
      <c r="M115" s="7" t="s">
        <v>47</v>
      </c>
      <c r="N115" s="32" t="s">
        <v>20</v>
      </c>
    </row>
    <row r="116" spans="1:14" x14ac:dyDescent="0.25">
      <c r="A116" s="29" t="s">
        <v>278</v>
      </c>
      <c r="B116" s="3">
        <v>45618</v>
      </c>
      <c r="C116" s="4" t="s">
        <v>279</v>
      </c>
      <c r="D116" s="2" t="s">
        <v>16</v>
      </c>
      <c r="E116" s="4" t="s">
        <v>96</v>
      </c>
      <c r="F116" s="2" t="s">
        <v>51</v>
      </c>
      <c r="G116" s="2">
        <v>1</v>
      </c>
      <c r="H116" s="5">
        <v>60</v>
      </c>
      <c r="I116" s="5">
        <v>36</v>
      </c>
      <c r="J116" s="5">
        <v>60</v>
      </c>
      <c r="K116" s="6">
        <v>15</v>
      </c>
      <c r="L116" s="5">
        <v>51</v>
      </c>
      <c r="M116" s="2" t="s">
        <v>26</v>
      </c>
      <c r="N116" s="31" t="s">
        <v>32</v>
      </c>
    </row>
    <row r="117" spans="1:14" x14ac:dyDescent="0.25">
      <c r="A117" s="30" t="s">
        <v>280</v>
      </c>
      <c r="B117" s="8">
        <v>45518</v>
      </c>
      <c r="C117" s="9" t="s">
        <v>181</v>
      </c>
      <c r="D117" s="7" t="s">
        <v>29</v>
      </c>
      <c r="E117" s="9" t="s">
        <v>275</v>
      </c>
      <c r="F117" s="7" t="s">
        <v>51</v>
      </c>
      <c r="G117" s="7">
        <v>9</v>
      </c>
      <c r="H117" s="10">
        <v>95</v>
      </c>
      <c r="I117" s="10">
        <v>57</v>
      </c>
      <c r="J117" s="10">
        <v>855</v>
      </c>
      <c r="K117" s="11">
        <v>15</v>
      </c>
      <c r="L117" s="10">
        <v>726.75</v>
      </c>
      <c r="M117" s="7" t="s">
        <v>19</v>
      </c>
      <c r="N117" s="32" t="s">
        <v>20</v>
      </c>
    </row>
    <row r="118" spans="1:14" x14ac:dyDescent="0.25">
      <c r="A118" s="29" t="s">
        <v>281</v>
      </c>
      <c r="B118" s="3">
        <v>45539</v>
      </c>
      <c r="C118" s="4" t="s">
        <v>282</v>
      </c>
      <c r="D118" s="2" t="s">
        <v>29</v>
      </c>
      <c r="E118" s="4" t="s">
        <v>126</v>
      </c>
      <c r="F118" s="2" t="s">
        <v>18</v>
      </c>
      <c r="G118" s="2">
        <v>19</v>
      </c>
      <c r="H118" s="5">
        <v>120</v>
      </c>
      <c r="I118" s="5">
        <v>62.4</v>
      </c>
      <c r="J118" s="5">
        <v>2280</v>
      </c>
      <c r="K118" s="6">
        <v>10</v>
      </c>
      <c r="L118" s="5">
        <v>2052</v>
      </c>
      <c r="M118" s="2" t="s">
        <v>26</v>
      </c>
      <c r="N118" s="31" t="s">
        <v>20</v>
      </c>
    </row>
    <row r="119" spans="1:14" x14ac:dyDescent="0.25">
      <c r="A119" s="30" t="s">
        <v>283</v>
      </c>
      <c r="B119" s="8">
        <v>45629</v>
      </c>
      <c r="C119" s="9" t="s">
        <v>284</v>
      </c>
      <c r="D119" s="7" t="s">
        <v>23</v>
      </c>
      <c r="E119" s="9" t="s">
        <v>196</v>
      </c>
      <c r="F119" s="7" t="s">
        <v>25</v>
      </c>
      <c r="G119" s="7">
        <v>19</v>
      </c>
      <c r="H119" s="10">
        <v>75</v>
      </c>
      <c r="I119" s="10">
        <v>37.5</v>
      </c>
      <c r="J119" s="10">
        <v>1425</v>
      </c>
      <c r="K119" s="11">
        <v>0</v>
      </c>
      <c r="L119" s="10">
        <v>1425</v>
      </c>
      <c r="M119" s="7" t="s">
        <v>26</v>
      </c>
      <c r="N119" s="32" t="s">
        <v>32</v>
      </c>
    </row>
    <row r="120" spans="1:14" x14ac:dyDescent="0.25">
      <c r="A120" s="29" t="s">
        <v>285</v>
      </c>
      <c r="B120" s="3">
        <v>45409</v>
      </c>
      <c r="C120" s="4" t="s">
        <v>286</v>
      </c>
      <c r="D120" s="2" t="s">
        <v>75</v>
      </c>
      <c r="E120" s="4" t="s">
        <v>79</v>
      </c>
      <c r="F120" s="2" t="s">
        <v>70</v>
      </c>
      <c r="G120" s="2">
        <v>7</v>
      </c>
      <c r="H120" s="5">
        <v>70</v>
      </c>
      <c r="I120" s="5">
        <v>31.5</v>
      </c>
      <c r="J120" s="5">
        <v>490</v>
      </c>
      <c r="K120" s="6">
        <v>5</v>
      </c>
      <c r="L120" s="5">
        <v>465.5</v>
      </c>
      <c r="M120" s="2" t="s">
        <v>26</v>
      </c>
      <c r="N120" s="31" t="s">
        <v>32</v>
      </c>
    </row>
    <row r="121" spans="1:14" x14ac:dyDescent="0.25">
      <c r="A121" s="30" t="s">
        <v>287</v>
      </c>
      <c r="B121" s="8">
        <v>45341</v>
      </c>
      <c r="C121" s="9" t="s">
        <v>268</v>
      </c>
      <c r="D121" s="7" t="s">
        <v>23</v>
      </c>
      <c r="E121" s="9" t="s">
        <v>30</v>
      </c>
      <c r="F121" s="7" t="s">
        <v>31</v>
      </c>
      <c r="G121" s="7">
        <v>10</v>
      </c>
      <c r="H121" s="10">
        <v>72</v>
      </c>
      <c r="I121" s="10">
        <v>33.840000000000003</v>
      </c>
      <c r="J121" s="10">
        <v>720</v>
      </c>
      <c r="K121" s="11">
        <v>15</v>
      </c>
      <c r="L121" s="10">
        <v>612</v>
      </c>
      <c r="M121" s="7" t="s">
        <v>47</v>
      </c>
      <c r="N121" s="32" t="s">
        <v>20</v>
      </c>
    </row>
    <row r="122" spans="1:14" x14ac:dyDescent="0.25">
      <c r="A122" s="29" t="s">
        <v>288</v>
      </c>
      <c r="B122" s="3">
        <v>45443</v>
      </c>
      <c r="C122" s="4" t="s">
        <v>289</v>
      </c>
      <c r="D122" s="2" t="s">
        <v>130</v>
      </c>
      <c r="E122" s="4" t="s">
        <v>96</v>
      </c>
      <c r="F122" s="2" t="s">
        <v>51</v>
      </c>
      <c r="G122" s="2">
        <v>7</v>
      </c>
      <c r="H122" s="5">
        <v>60</v>
      </c>
      <c r="I122" s="5">
        <v>36</v>
      </c>
      <c r="J122" s="5">
        <v>420</v>
      </c>
      <c r="K122" s="6">
        <v>0</v>
      </c>
      <c r="L122" s="5">
        <v>420</v>
      </c>
      <c r="M122" s="2" t="s">
        <v>26</v>
      </c>
      <c r="N122" s="31" t="s">
        <v>20</v>
      </c>
    </row>
    <row r="123" spans="1:14" x14ac:dyDescent="0.25">
      <c r="A123" s="30" t="s">
        <v>290</v>
      </c>
      <c r="B123" s="8">
        <v>45548</v>
      </c>
      <c r="C123" s="9" t="s">
        <v>169</v>
      </c>
      <c r="D123" s="7" t="s">
        <v>16</v>
      </c>
      <c r="E123" s="9" t="s">
        <v>50</v>
      </c>
      <c r="F123" s="7" t="s">
        <v>51</v>
      </c>
      <c r="G123" s="7">
        <v>16</v>
      </c>
      <c r="H123" s="10">
        <v>120</v>
      </c>
      <c r="I123" s="10">
        <v>72</v>
      </c>
      <c r="J123" s="10">
        <v>1920</v>
      </c>
      <c r="K123" s="11">
        <v>5</v>
      </c>
      <c r="L123" s="10">
        <v>1824</v>
      </c>
      <c r="M123" s="7" t="s">
        <v>47</v>
      </c>
      <c r="N123" s="32" t="s">
        <v>20</v>
      </c>
    </row>
    <row r="124" spans="1:14" x14ac:dyDescent="0.25">
      <c r="A124" s="29" t="s">
        <v>291</v>
      </c>
      <c r="B124" s="3">
        <v>45330</v>
      </c>
      <c r="C124" s="4" t="s">
        <v>211</v>
      </c>
      <c r="D124" s="2" t="s">
        <v>29</v>
      </c>
      <c r="E124" s="4" t="s">
        <v>65</v>
      </c>
      <c r="F124" s="2" t="s">
        <v>66</v>
      </c>
      <c r="G124" s="2">
        <v>18</v>
      </c>
      <c r="H124" s="5">
        <v>65</v>
      </c>
      <c r="I124" s="5">
        <v>31.2</v>
      </c>
      <c r="J124" s="5">
        <v>1170</v>
      </c>
      <c r="K124" s="6">
        <v>10</v>
      </c>
      <c r="L124" s="5">
        <v>1053</v>
      </c>
      <c r="M124" s="2" t="s">
        <v>47</v>
      </c>
      <c r="N124" s="31" t="s">
        <v>20</v>
      </c>
    </row>
    <row r="125" spans="1:14" x14ac:dyDescent="0.25">
      <c r="A125" s="30" t="s">
        <v>292</v>
      </c>
      <c r="B125" s="8">
        <v>45355</v>
      </c>
      <c r="C125" s="9" t="s">
        <v>293</v>
      </c>
      <c r="D125" s="7" t="s">
        <v>16</v>
      </c>
      <c r="E125" s="9" t="s">
        <v>196</v>
      </c>
      <c r="F125" s="7" t="s">
        <v>25</v>
      </c>
      <c r="G125" s="7">
        <v>19</v>
      </c>
      <c r="H125" s="10">
        <v>75</v>
      </c>
      <c r="I125" s="10">
        <v>37.5</v>
      </c>
      <c r="J125" s="10">
        <v>1425</v>
      </c>
      <c r="K125" s="11">
        <v>10</v>
      </c>
      <c r="L125" s="10">
        <v>1282.5</v>
      </c>
      <c r="M125" s="7" t="s">
        <v>26</v>
      </c>
      <c r="N125" s="32" t="s">
        <v>32</v>
      </c>
    </row>
    <row r="126" spans="1:14" x14ac:dyDescent="0.25">
      <c r="A126" s="29" t="s">
        <v>294</v>
      </c>
      <c r="B126" s="3">
        <v>45411</v>
      </c>
      <c r="C126" s="4" t="s">
        <v>132</v>
      </c>
      <c r="D126" s="2" t="s">
        <v>117</v>
      </c>
      <c r="E126" s="4" t="s">
        <v>24</v>
      </c>
      <c r="F126" s="2" t="s">
        <v>25</v>
      </c>
      <c r="G126" s="2">
        <v>18</v>
      </c>
      <c r="H126" s="5">
        <v>40</v>
      </c>
      <c r="I126" s="5">
        <v>20</v>
      </c>
      <c r="J126" s="5">
        <v>720</v>
      </c>
      <c r="K126" s="6">
        <v>10</v>
      </c>
      <c r="L126" s="5">
        <v>648</v>
      </c>
      <c r="M126" s="2" t="s">
        <v>19</v>
      </c>
      <c r="N126" s="31" t="s">
        <v>32</v>
      </c>
    </row>
    <row r="127" spans="1:14" x14ac:dyDescent="0.25">
      <c r="A127" s="30" t="s">
        <v>295</v>
      </c>
      <c r="B127" s="8">
        <v>45529</v>
      </c>
      <c r="C127" s="9" t="s">
        <v>203</v>
      </c>
      <c r="D127" s="7" t="s">
        <v>29</v>
      </c>
      <c r="E127" s="9" t="s">
        <v>36</v>
      </c>
      <c r="F127" s="7" t="s">
        <v>31</v>
      </c>
      <c r="G127" s="7">
        <v>4</v>
      </c>
      <c r="H127" s="10">
        <v>65</v>
      </c>
      <c r="I127" s="10">
        <v>30.55</v>
      </c>
      <c r="J127" s="10">
        <v>260</v>
      </c>
      <c r="K127" s="11">
        <v>0</v>
      </c>
      <c r="L127" s="10">
        <v>260</v>
      </c>
      <c r="M127" s="7" t="s">
        <v>19</v>
      </c>
      <c r="N127" s="32" t="s">
        <v>20</v>
      </c>
    </row>
    <row r="128" spans="1:14" x14ac:dyDescent="0.25">
      <c r="A128" s="29" t="s">
        <v>296</v>
      </c>
      <c r="B128" s="3">
        <v>45341</v>
      </c>
      <c r="C128" s="4" t="s">
        <v>270</v>
      </c>
      <c r="D128" s="2" t="s">
        <v>130</v>
      </c>
      <c r="E128" s="4" t="s">
        <v>82</v>
      </c>
      <c r="F128" s="2" t="s">
        <v>66</v>
      </c>
      <c r="G128" s="2">
        <v>13</v>
      </c>
      <c r="H128" s="5">
        <v>80</v>
      </c>
      <c r="I128" s="5">
        <v>38.4</v>
      </c>
      <c r="J128" s="5">
        <v>1040</v>
      </c>
      <c r="K128" s="6">
        <v>15</v>
      </c>
      <c r="L128" s="5">
        <v>884</v>
      </c>
      <c r="M128" s="2" t="s">
        <v>26</v>
      </c>
      <c r="N128" s="31" t="s">
        <v>32</v>
      </c>
    </row>
    <row r="129" spans="1:14" x14ac:dyDescent="0.25">
      <c r="A129" s="30" t="s">
        <v>297</v>
      </c>
      <c r="B129" s="8">
        <v>45592</v>
      </c>
      <c r="C129" s="9" t="s">
        <v>298</v>
      </c>
      <c r="D129" s="7" t="s">
        <v>130</v>
      </c>
      <c r="E129" s="9" t="s">
        <v>30</v>
      </c>
      <c r="F129" s="7" t="s">
        <v>31</v>
      </c>
      <c r="G129" s="7">
        <v>14</v>
      </c>
      <c r="H129" s="10">
        <v>72</v>
      </c>
      <c r="I129" s="10">
        <v>33.840000000000003</v>
      </c>
      <c r="J129" s="10">
        <v>1008</v>
      </c>
      <c r="K129" s="11">
        <v>0</v>
      </c>
      <c r="L129" s="10">
        <v>1008</v>
      </c>
      <c r="M129" s="7" t="s">
        <v>26</v>
      </c>
      <c r="N129" s="32" t="s">
        <v>32</v>
      </c>
    </row>
    <row r="130" spans="1:14" x14ac:dyDescent="0.25">
      <c r="A130" s="29" t="s">
        <v>299</v>
      </c>
      <c r="B130" s="3">
        <v>45645</v>
      </c>
      <c r="C130" s="4" t="s">
        <v>289</v>
      </c>
      <c r="D130" s="2" t="s">
        <v>59</v>
      </c>
      <c r="E130" s="4" t="s">
        <v>50</v>
      </c>
      <c r="F130" s="2" t="s">
        <v>51</v>
      </c>
      <c r="G130" s="2">
        <v>15</v>
      </c>
      <c r="H130" s="5">
        <v>120</v>
      </c>
      <c r="I130" s="5">
        <v>72</v>
      </c>
      <c r="J130" s="5">
        <v>1800</v>
      </c>
      <c r="K130" s="6">
        <v>5</v>
      </c>
      <c r="L130" s="5">
        <v>1710</v>
      </c>
      <c r="M130" s="2" t="s">
        <v>19</v>
      </c>
      <c r="N130" s="31" t="s">
        <v>20</v>
      </c>
    </row>
    <row r="131" spans="1:14" x14ac:dyDescent="0.25">
      <c r="A131" s="30" t="s">
        <v>300</v>
      </c>
      <c r="B131" s="8">
        <v>45622</v>
      </c>
      <c r="C131" s="9" t="s">
        <v>301</v>
      </c>
      <c r="D131" s="7" t="s">
        <v>29</v>
      </c>
      <c r="E131" s="9" t="s">
        <v>229</v>
      </c>
      <c r="F131" s="7" t="s">
        <v>51</v>
      </c>
      <c r="G131" s="7">
        <v>9</v>
      </c>
      <c r="H131" s="10">
        <v>850</v>
      </c>
      <c r="I131" s="10">
        <v>510</v>
      </c>
      <c r="J131" s="10">
        <v>7650</v>
      </c>
      <c r="K131" s="11">
        <v>5</v>
      </c>
      <c r="L131" s="10">
        <v>7267.5</v>
      </c>
      <c r="M131" s="7" t="s">
        <v>26</v>
      </c>
      <c r="N131" s="32" t="s">
        <v>32</v>
      </c>
    </row>
    <row r="132" spans="1:14" x14ac:dyDescent="0.25">
      <c r="A132" s="29" t="s">
        <v>302</v>
      </c>
      <c r="B132" s="3">
        <v>45631</v>
      </c>
      <c r="C132" s="4" t="s">
        <v>303</v>
      </c>
      <c r="D132" s="2" t="s">
        <v>23</v>
      </c>
      <c r="E132" s="4" t="s">
        <v>82</v>
      </c>
      <c r="F132" s="2" t="s">
        <v>66</v>
      </c>
      <c r="G132" s="2">
        <v>2</v>
      </c>
      <c r="H132" s="5">
        <v>80</v>
      </c>
      <c r="I132" s="5">
        <v>38.4</v>
      </c>
      <c r="J132" s="5">
        <v>160</v>
      </c>
      <c r="K132" s="6">
        <v>10</v>
      </c>
      <c r="L132" s="5">
        <v>144</v>
      </c>
      <c r="M132" s="2" t="s">
        <v>19</v>
      </c>
      <c r="N132" s="31" t="s">
        <v>20</v>
      </c>
    </row>
    <row r="133" spans="1:14" x14ac:dyDescent="0.25">
      <c r="A133" s="30" t="s">
        <v>304</v>
      </c>
      <c r="B133" s="8">
        <v>45327</v>
      </c>
      <c r="C133" s="9" t="s">
        <v>305</v>
      </c>
      <c r="D133" s="7" t="s">
        <v>75</v>
      </c>
      <c r="E133" s="9" t="s">
        <v>88</v>
      </c>
      <c r="F133" s="7" t="s">
        <v>46</v>
      </c>
      <c r="G133" s="7">
        <v>19</v>
      </c>
      <c r="H133" s="10">
        <v>55</v>
      </c>
      <c r="I133" s="10">
        <v>30.25</v>
      </c>
      <c r="J133" s="10">
        <v>1045</v>
      </c>
      <c r="K133" s="11">
        <v>5</v>
      </c>
      <c r="L133" s="10">
        <v>992.75</v>
      </c>
      <c r="M133" s="7" t="s">
        <v>19</v>
      </c>
      <c r="N133" s="32" t="s">
        <v>32</v>
      </c>
    </row>
    <row r="134" spans="1:14" x14ac:dyDescent="0.25">
      <c r="A134" s="29" t="s">
        <v>306</v>
      </c>
      <c r="B134" s="3">
        <v>45597</v>
      </c>
      <c r="C134" s="4" t="s">
        <v>307</v>
      </c>
      <c r="D134" s="2" t="s">
        <v>130</v>
      </c>
      <c r="E134" s="4" t="s">
        <v>198</v>
      </c>
      <c r="F134" s="2" t="s">
        <v>18</v>
      </c>
      <c r="G134" s="2">
        <v>5</v>
      </c>
      <c r="H134" s="5">
        <v>35</v>
      </c>
      <c r="I134" s="5">
        <v>18.2</v>
      </c>
      <c r="J134" s="5">
        <v>175</v>
      </c>
      <c r="K134" s="6">
        <v>20</v>
      </c>
      <c r="L134" s="5">
        <v>140</v>
      </c>
      <c r="M134" s="2" t="s">
        <v>19</v>
      </c>
      <c r="N134" s="31" t="s">
        <v>20</v>
      </c>
    </row>
    <row r="135" spans="1:14" x14ac:dyDescent="0.25">
      <c r="A135" s="30" t="s">
        <v>308</v>
      </c>
      <c r="B135" s="8">
        <v>45299</v>
      </c>
      <c r="C135" s="9" t="s">
        <v>309</v>
      </c>
      <c r="D135" s="7" t="s">
        <v>117</v>
      </c>
      <c r="E135" s="9" t="s">
        <v>50</v>
      </c>
      <c r="F135" s="7" t="s">
        <v>51</v>
      </c>
      <c r="G135" s="7">
        <v>11</v>
      </c>
      <c r="H135" s="10">
        <v>120</v>
      </c>
      <c r="I135" s="10">
        <v>72</v>
      </c>
      <c r="J135" s="10">
        <v>1320</v>
      </c>
      <c r="K135" s="11">
        <v>0</v>
      </c>
      <c r="L135" s="10">
        <v>1320</v>
      </c>
      <c r="M135" s="7" t="s">
        <v>19</v>
      </c>
      <c r="N135" s="32" t="s">
        <v>20</v>
      </c>
    </row>
    <row r="136" spans="1:14" x14ac:dyDescent="0.25">
      <c r="A136" s="29" t="s">
        <v>310</v>
      </c>
      <c r="B136" s="3">
        <v>45350</v>
      </c>
      <c r="C136" s="4" t="s">
        <v>311</v>
      </c>
      <c r="D136" s="2" t="s">
        <v>59</v>
      </c>
      <c r="E136" s="4" t="s">
        <v>164</v>
      </c>
      <c r="F136" s="2" t="s">
        <v>31</v>
      </c>
      <c r="G136" s="2">
        <v>15</v>
      </c>
      <c r="H136" s="5">
        <v>85</v>
      </c>
      <c r="I136" s="5">
        <v>39.950000000000003</v>
      </c>
      <c r="J136" s="5">
        <v>1275</v>
      </c>
      <c r="K136" s="6">
        <v>10</v>
      </c>
      <c r="L136" s="5">
        <v>1147.5</v>
      </c>
      <c r="M136" s="2" t="s">
        <v>19</v>
      </c>
      <c r="N136" s="31" t="s">
        <v>32</v>
      </c>
    </row>
    <row r="137" spans="1:14" x14ac:dyDescent="0.25">
      <c r="A137" s="30" t="s">
        <v>312</v>
      </c>
      <c r="B137" s="8">
        <v>45606</v>
      </c>
      <c r="C137" s="9" t="s">
        <v>313</v>
      </c>
      <c r="D137" s="7" t="s">
        <v>16</v>
      </c>
      <c r="E137" s="9" t="s">
        <v>41</v>
      </c>
      <c r="F137" s="7" t="s">
        <v>18</v>
      </c>
      <c r="G137" s="7">
        <v>15</v>
      </c>
      <c r="H137" s="10">
        <v>150</v>
      </c>
      <c r="I137" s="10">
        <v>78</v>
      </c>
      <c r="J137" s="10">
        <v>2250</v>
      </c>
      <c r="K137" s="11">
        <v>0</v>
      </c>
      <c r="L137" s="10">
        <v>2250</v>
      </c>
      <c r="M137" s="7" t="s">
        <v>47</v>
      </c>
      <c r="N137" s="32" t="s">
        <v>20</v>
      </c>
    </row>
    <row r="138" spans="1:14" x14ac:dyDescent="0.25">
      <c r="A138" s="29" t="s">
        <v>314</v>
      </c>
      <c r="B138" s="3">
        <v>45643</v>
      </c>
      <c r="C138" s="4" t="s">
        <v>315</v>
      </c>
      <c r="D138" s="2" t="s">
        <v>59</v>
      </c>
      <c r="E138" s="4" t="s">
        <v>123</v>
      </c>
      <c r="F138" s="2" t="s">
        <v>18</v>
      </c>
      <c r="G138" s="2">
        <v>3</v>
      </c>
      <c r="H138" s="5">
        <v>75</v>
      </c>
      <c r="I138" s="5">
        <v>39</v>
      </c>
      <c r="J138" s="5">
        <v>225</v>
      </c>
      <c r="K138" s="6">
        <v>0</v>
      </c>
      <c r="L138" s="5">
        <v>225</v>
      </c>
      <c r="M138" s="2" t="s">
        <v>19</v>
      </c>
      <c r="N138" s="31" t="s">
        <v>20</v>
      </c>
    </row>
    <row r="139" spans="1:14" x14ac:dyDescent="0.25">
      <c r="A139" s="30" t="s">
        <v>316</v>
      </c>
      <c r="B139" s="8">
        <v>45611</v>
      </c>
      <c r="C139" s="9" t="s">
        <v>64</v>
      </c>
      <c r="D139" s="7" t="s">
        <v>54</v>
      </c>
      <c r="E139" s="9" t="s">
        <v>30</v>
      </c>
      <c r="F139" s="7" t="s">
        <v>31</v>
      </c>
      <c r="G139" s="7">
        <v>11</v>
      </c>
      <c r="H139" s="10">
        <v>72</v>
      </c>
      <c r="I139" s="10">
        <v>33.840000000000003</v>
      </c>
      <c r="J139" s="10">
        <v>792</v>
      </c>
      <c r="K139" s="11">
        <v>10</v>
      </c>
      <c r="L139" s="10">
        <v>712.8</v>
      </c>
      <c r="M139" s="7" t="s">
        <v>47</v>
      </c>
      <c r="N139" s="32" t="s">
        <v>32</v>
      </c>
    </row>
    <row r="140" spans="1:14" x14ac:dyDescent="0.25">
      <c r="A140" s="29" t="s">
        <v>317</v>
      </c>
      <c r="B140" s="3">
        <v>45601</v>
      </c>
      <c r="C140" s="4" t="s">
        <v>248</v>
      </c>
      <c r="D140" s="2" t="s">
        <v>44</v>
      </c>
      <c r="E140" s="4" t="s">
        <v>24</v>
      </c>
      <c r="F140" s="2" t="s">
        <v>25</v>
      </c>
      <c r="G140" s="2">
        <v>18</v>
      </c>
      <c r="H140" s="5">
        <v>40</v>
      </c>
      <c r="I140" s="5">
        <v>20</v>
      </c>
      <c r="J140" s="5">
        <v>720</v>
      </c>
      <c r="K140" s="6">
        <v>5</v>
      </c>
      <c r="L140" s="5">
        <v>684</v>
      </c>
      <c r="M140" s="2" t="s">
        <v>26</v>
      </c>
      <c r="N140" s="31" t="s">
        <v>20</v>
      </c>
    </row>
    <row r="141" spans="1:14" x14ac:dyDescent="0.25">
      <c r="A141" s="30" t="s">
        <v>318</v>
      </c>
      <c r="B141" s="8">
        <v>45524</v>
      </c>
      <c r="C141" s="9" t="s">
        <v>286</v>
      </c>
      <c r="D141" s="7" t="s">
        <v>44</v>
      </c>
      <c r="E141" s="9" t="s">
        <v>60</v>
      </c>
      <c r="F141" s="7" t="s">
        <v>25</v>
      </c>
      <c r="G141" s="7">
        <v>11</v>
      </c>
      <c r="H141" s="10">
        <v>55</v>
      </c>
      <c r="I141" s="10">
        <v>27.5</v>
      </c>
      <c r="J141" s="10">
        <v>605</v>
      </c>
      <c r="K141" s="11">
        <v>10</v>
      </c>
      <c r="L141" s="10">
        <v>544.5</v>
      </c>
      <c r="M141" s="7" t="s">
        <v>19</v>
      </c>
      <c r="N141" s="32" t="s">
        <v>20</v>
      </c>
    </row>
    <row r="142" spans="1:14" x14ac:dyDescent="0.25">
      <c r="A142" s="29" t="s">
        <v>319</v>
      </c>
      <c r="B142" s="3">
        <v>45534</v>
      </c>
      <c r="C142" s="4" t="s">
        <v>135</v>
      </c>
      <c r="D142" s="2" t="s">
        <v>44</v>
      </c>
      <c r="E142" s="4" t="s">
        <v>93</v>
      </c>
      <c r="F142" s="2" t="s">
        <v>18</v>
      </c>
      <c r="G142" s="2">
        <v>3</v>
      </c>
      <c r="H142" s="5">
        <v>85</v>
      </c>
      <c r="I142" s="5">
        <v>44.2</v>
      </c>
      <c r="J142" s="5">
        <v>255</v>
      </c>
      <c r="K142" s="6">
        <v>10</v>
      </c>
      <c r="L142" s="5">
        <v>229.5</v>
      </c>
      <c r="M142" s="2" t="s">
        <v>26</v>
      </c>
      <c r="N142" s="31" t="s">
        <v>20</v>
      </c>
    </row>
    <row r="143" spans="1:14" x14ac:dyDescent="0.25">
      <c r="A143" s="30" t="s">
        <v>320</v>
      </c>
      <c r="B143" s="8">
        <v>45322</v>
      </c>
      <c r="C143" s="9" t="s">
        <v>321</v>
      </c>
      <c r="D143" s="7" t="s">
        <v>54</v>
      </c>
      <c r="E143" s="9" t="s">
        <v>76</v>
      </c>
      <c r="F143" s="7" t="s">
        <v>70</v>
      </c>
      <c r="G143" s="7">
        <v>11</v>
      </c>
      <c r="H143" s="10">
        <v>110</v>
      </c>
      <c r="I143" s="10">
        <v>49.5</v>
      </c>
      <c r="J143" s="10">
        <v>1210</v>
      </c>
      <c r="K143" s="11">
        <v>0</v>
      </c>
      <c r="L143" s="10">
        <v>1210</v>
      </c>
      <c r="M143" s="7" t="s">
        <v>26</v>
      </c>
      <c r="N143" s="32" t="s">
        <v>32</v>
      </c>
    </row>
    <row r="144" spans="1:14" x14ac:dyDescent="0.25">
      <c r="A144" s="29" t="s">
        <v>322</v>
      </c>
      <c r="B144" s="3">
        <v>45318</v>
      </c>
      <c r="C144" s="4" t="s">
        <v>53</v>
      </c>
      <c r="D144" s="2" t="s">
        <v>35</v>
      </c>
      <c r="E144" s="4" t="s">
        <v>275</v>
      </c>
      <c r="F144" s="2" t="s">
        <v>51</v>
      </c>
      <c r="G144" s="2">
        <v>4</v>
      </c>
      <c r="H144" s="5">
        <v>95</v>
      </c>
      <c r="I144" s="5">
        <v>57</v>
      </c>
      <c r="J144" s="5">
        <v>380</v>
      </c>
      <c r="K144" s="6">
        <v>20</v>
      </c>
      <c r="L144" s="5">
        <v>304</v>
      </c>
      <c r="M144" s="2" t="s">
        <v>26</v>
      </c>
      <c r="N144" s="31" t="s">
        <v>20</v>
      </c>
    </row>
    <row r="145" spans="1:14" x14ac:dyDescent="0.25">
      <c r="A145" s="30" t="s">
        <v>323</v>
      </c>
      <c r="B145" s="8">
        <v>45347</v>
      </c>
      <c r="C145" s="9" t="s">
        <v>324</v>
      </c>
      <c r="D145" s="7" t="s">
        <v>44</v>
      </c>
      <c r="E145" s="9" t="s">
        <v>275</v>
      </c>
      <c r="F145" s="7" t="s">
        <v>51</v>
      </c>
      <c r="G145" s="7">
        <v>9</v>
      </c>
      <c r="H145" s="10">
        <v>95</v>
      </c>
      <c r="I145" s="10">
        <v>57</v>
      </c>
      <c r="J145" s="10">
        <v>855</v>
      </c>
      <c r="K145" s="11">
        <v>5</v>
      </c>
      <c r="L145" s="10">
        <v>812.25</v>
      </c>
      <c r="M145" s="7" t="s">
        <v>26</v>
      </c>
      <c r="N145" s="32" t="s">
        <v>20</v>
      </c>
    </row>
    <row r="146" spans="1:14" x14ac:dyDescent="0.25">
      <c r="A146" s="29" t="s">
        <v>325</v>
      </c>
      <c r="B146" s="3">
        <v>45637</v>
      </c>
      <c r="C146" s="4" t="s">
        <v>326</v>
      </c>
      <c r="D146" s="2" t="s">
        <v>23</v>
      </c>
      <c r="E146" s="4" t="s">
        <v>30</v>
      </c>
      <c r="F146" s="2" t="s">
        <v>31</v>
      </c>
      <c r="G146" s="2">
        <v>20</v>
      </c>
      <c r="H146" s="5">
        <v>72</v>
      </c>
      <c r="I146" s="5">
        <v>33.840000000000003</v>
      </c>
      <c r="J146" s="5">
        <v>1440</v>
      </c>
      <c r="K146" s="6">
        <v>5</v>
      </c>
      <c r="L146" s="5">
        <v>1368</v>
      </c>
      <c r="M146" s="2" t="s">
        <v>19</v>
      </c>
      <c r="N146" s="31" t="s">
        <v>20</v>
      </c>
    </row>
    <row r="147" spans="1:14" x14ac:dyDescent="0.25">
      <c r="A147" s="30" t="s">
        <v>327</v>
      </c>
      <c r="B147" s="8">
        <v>45465</v>
      </c>
      <c r="C147" s="9" t="s">
        <v>328</v>
      </c>
      <c r="D147" s="7" t="s">
        <v>130</v>
      </c>
      <c r="E147" s="9" t="s">
        <v>229</v>
      </c>
      <c r="F147" s="7" t="s">
        <v>51</v>
      </c>
      <c r="G147" s="7">
        <v>5</v>
      </c>
      <c r="H147" s="10">
        <v>850</v>
      </c>
      <c r="I147" s="10">
        <v>510</v>
      </c>
      <c r="J147" s="10">
        <v>4250</v>
      </c>
      <c r="K147" s="11">
        <v>10</v>
      </c>
      <c r="L147" s="10">
        <v>3825</v>
      </c>
      <c r="M147" s="7" t="s">
        <v>26</v>
      </c>
      <c r="N147" s="32" t="s">
        <v>20</v>
      </c>
    </row>
    <row r="148" spans="1:14" x14ac:dyDescent="0.25">
      <c r="A148" s="29" t="s">
        <v>329</v>
      </c>
      <c r="B148" s="3">
        <v>45563</v>
      </c>
      <c r="C148" s="4" t="s">
        <v>330</v>
      </c>
      <c r="D148" s="2" t="s">
        <v>29</v>
      </c>
      <c r="E148" s="4" t="s">
        <v>85</v>
      </c>
      <c r="F148" s="2" t="s">
        <v>66</v>
      </c>
      <c r="G148" s="2">
        <v>15</v>
      </c>
      <c r="H148" s="5">
        <v>55</v>
      </c>
      <c r="I148" s="5">
        <v>26.4</v>
      </c>
      <c r="J148" s="5">
        <v>825</v>
      </c>
      <c r="K148" s="6">
        <v>10</v>
      </c>
      <c r="L148" s="5">
        <v>742.5</v>
      </c>
      <c r="M148" s="2" t="s">
        <v>47</v>
      </c>
      <c r="N148" s="31" t="s">
        <v>20</v>
      </c>
    </row>
    <row r="149" spans="1:14" x14ac:dyDescent="0.25">
      <c r="A149" s="30" t="s">
        <v>331</v>
      </c>
      <c r="B149" s="8">
        <v>45582</v>
      </c>
      <c r="C149" s="9" t="s">
        <v>207</v>
      </c>
      <c r="D149" s="7" t="s">
        <v>23</v>
      </c>
      <c r="E149" s="9" t="s">
        <v>69</v>
      </c>
      <c r="F149" s="7" t="s">
        <v>70</v>
      </c>
      <c r="G149" s="7">
        <v>5</v>
      </c>
      <c r="H149" s="10">
        <v>95</v>
      </c>
      <c r="I149" s="10">
        <v>42.75</v>
      </c>
      <c r="J149" s="10">
        <v>475</v>
      </c>
      <c r="K149" s="11">
        <v>0</v>
      </c>
      <c r="L149" s="10">
        <v>475</v>
      </c>
      <c r="M149" s="7" t="s">
        <v>19</v>
      </c>
      <c r="N149" s="32" t="s">
        <v>32</v>
      </c>
    </row>
    <row r="150" spans="1:14" x14ac:dyDescent="0.25">
      <c r="A150" s="29" t="s">
        <v>332</v>
      </c>
      <c r="B150" s="3">
        <v>45518</v>
      </c>
      <c r="C150" s="4" t="s">
        <v>333</v>
      </c>
      <c r="D150" s="2" t="s">
        <v>59</v>
      </c>
      <c r="E150" s="4" t="s">
        <v>36</v>
      </c>
      <c r="F150" s="2" t="s">
        <v>31</v>
      </c>
      <c r="G150" s="2">
        <v>20</v>
      </c>
      <c r="H150" s="5">
        <v>65</v>
      </c>
      <c r="I150" s="5">
        <v>30.55</v>
      </c>
      <c r="J150" s="5">
        <v>1300</v>
      </c>
      <c r="K150" s="6">
        <v>15</v>
      </c>
      <c r="L150" s="5">
        <v>1105</v>
      </c>
      <c r="M150" s="2" t="s">
        <v>19</v>
      </c>
      <c r="N150" s="31" t="s">
        <v>32</v>
      </c>
    </row>
    <row r="151" spans="1:14" x14ac:dyDescent="0.25">
      <c r="A151" s="30" t="s">
        <v>334</v>
      </c>
      <c r="B151" s="8">
        <v>45468</v>
      </c>
      <c r="C151" s="9" t="s">
        <v>335</v>
      </c>
      <c r="D151" s="7" t="s">
        <v>16</v>
      </c>
      <c r="E151" s="9" t="s">
        <v>24</v>
      </c>
      <c r="F151" s="7" t="s">
        <v>25</v>
      </c>
      <c r="G151" s="7">
        <v>19</v>
      </c>
      <c r="H151" s="10">
        <v>40</v>
      </c>
      <c r="I151" s="10">
        <v>20</v>
      </c>
      <c r="J151" s="10">
        <v>760</v>
      </c>
      <c r="K151" s="11">
        <v>15</v>
      </c>
      <c r="L151" s="10">
        <v>646</v>
      </c>
      <c r="M151" s="7" t="s">
        <v>47</v>
      </c>
      <c r="N151" s="32" t="s">
        <v>20</v>
      </c>
    </row>
    <row r="152" spans="1:14" x14ac:dyDescent="0.25">
      <c r="A152" s="29" t="s">
        <v>336</v>
      </c>
      <c r="B152" s="3">
        <v>45598</v>
      </c>
      <c r="C152" s="4" t="s">
        <v>337</v>
      </c>
      <c r="D152" s="2" t="s">
        <v>75</v>
      </c>
      <c r="E152" s="4" t="s">
        <v>17</v>
      </c>
      <c r="F152" s="2" t="s">
        <v>18</v>
      </c>
      <c r="G152" s="2">
        <v>10</v>
      </c>
      <c r="H152" s="5">
        <v>20</v>
      </c>
      <c r="I152" s="5">
        <v>10.4</v>
      </c>
      <c r="J152" s="5">
        <v>200</v>
      </c>
      <c r="K152" s="6">
        <v>5</v>
      </c>
      <c r="L152" s="5">
        <v>190</v>
      </c>
      <c r="M152" s="2" t="s">
        <v>26</v>
      </c>
      <c r="N152" s="31" t="s">
        <v>32</v>
      </c>
    </row>
    <row r="153" spans="1:14" x14ac:dyDescent="0.25">
      <c r="A153" s="30" t="s">
        <v>338</v>
      </c>
      <c r="B153" s="8">
        <v>45353</v>
      </c>
      <c r="C153" s="9" t="s">
        <v>339</v>
      </c>
      <c r="D153" s="7" t="s">
        <v>29</v>
      </c>
      <c r="E153" s="9" t="s">
        <v>123</v>
      </c>
      <c r="F153" s="7" t="s">
        <v>18</v>
      </c>
      <c r="G153" s="7">
        <v>6</v>
      </c>
      <c r="H153" s="10">
        <v>75</v>
      </c>
      <c r="I153" s="10">
        <v>39</v>
      </c>
      <c r="J153" s="10">
        <v>450</v>
      </c>
      <c r="K153" s="11">
        <v>0</v>
      </c>
      <c r="L153" s="10">
        <v>450</v>
      </c>
      <c r="M153" s="7" t="s">
        <v>26</v>
      </c>
      <c r="N153" s="32" t="s">
        <v>20</v>
      </c>
    </row>
    <row r="154" spans="1:14" x14ac:dyDescent="0.25">
      <c r="A154" s="29" t="s">
        <v>340</v>
      </c>
      <c r="B154" s="3">
        <v>45634</v>
      </c>
      <c r="C154" s="4" t="s">
        <v>341</v>
      </c>
      <c r="D154" s="2" t="s">
        <v>44</v>
      </c>
      <c r="E154" s="4" t="s">
        <v>45</v>
      </c>
      <c r="F154" s="2" t="s">
        <v>46</v>
      </c>
      <c r="G154" s="2">
        <v>13</v>
      </c>
      <c r="H154" s="5">
        <v>450</v>
      </c>
      <c r="I154" s="5">
        <v>247.5</v>
      </c>
      <c r="J154" s="5">
        <v>5850</v>
      </c>
      <c r="K154" s="6">
        <v>0</v>
      </c>
      <c r="L154" s="5">
        <v>5850</v>
      </c>
      <c r="M154" s="2" t="s">
        <v>47</v>
      </c>
      <c r="N154" s="31" t="s">
        <v>32</v>
      </c>
    </row>
    <row r="155" spans="1:14" x14ac:dyDescent="0.25">
      <c r="A155" s="30" t="s">
        <v>342</v>
      </c>
      <c r="B155" s="8">
        <v>45452</v>
      </c>
      <c r="C155" s="9" t="s">
        <v>209</v>
      </c>
      <c r="D155" s="7" t="s">
        <v>117</v>
      </c>
      <c r="E155" s="9" t="s">
        <v>79</v>
      </c>
      <c r="F155" s="7" t="s">
        <v>70</v>
      </c>
      <c r="G155" s="7">
        <v>13</v>
      </c>
      <c r="H155" s="10">
        <v>70</v>
      </c>
      <c r="I155" s="10">
        <v>31.5</v>
      </c>
      <c r="J155" s="10">
        <v>910</v>
      </c>
      <c r="K155" s="11">
        <v>10</v>
      </c>
      <c r="L155" s="10">
        <v>819</v>
      </c>
      <c r="M155" s="7" t="s">
        <v>47</v>
      </c>
      <c r="N155" s="32" t="s">
        <v>20</v>
      </c>
    </row>
    <row r="156" spans="1:14" x14ac:dyDescent="0.25">
      <c r="A156" s="29" t="s">
        <v>343</v>
      </c>
      <c r="B156" s="3">
        <v>45608</v>
      </c>
      <c r="C156" s="4" t="s">
        <v>333</v>
      </c>
      <c r="D156" s="2" t="s">
        <v>44</v>
      </c>
      <c r="E156" s="4" t="s">
        <v>196</v>
      </c>
      <c r="F156" s="2" t="s">
        <v>25</v>
      </c>
      <c r="G156" s="2">
        <v>14</v>
      </c>
      <c r="H156" s="5">
        <v>75</v>
      </c>
      <c r="I156" s="5">
        <v>37.5</v>
      </c>
      <c r="J156" s="5">
        <v>1050</v>
      </c>
      <c r="K156" s="6">
        <v>0</v>
      </c>
      <c r="L156" s="5">
        <v>1050</v>
      </c>
      <c r="M156" s="2" t="s">
        <v>47</v>
      </c>
      <c r="N156" s="31" t="s">
        <v>20</v>
      </c>
    </row>
    <row r="157" spans="1:14" x14ac:dyDescent="0.25">
      <c r="A157" s="30" t="s">
        <v>344</v>
      </c>
      <c r="B157" s="8">
        <v>45494</v>
      </c>
      <c r="C157" s="9" t="s">
        <v>345</v>
      </c>
      <c r="D157" s="7" t="s">
        <v>35</v>
      </c>
      <c r="E157" s="9" t="s">
        <v>45</v>
      </c>
      <c r="F157" s="7" t="s">
        <v>46</v>
      </c>
      <c r="G157" s="7">
        <v>8</v>
      </c>
      <c r="H157" s="10">
        <v>450</v>
      </c>
      <c r="I157" s="10">
        <v>247.5</v>
      </c>
      <c r="J157" s="10">
        <v>3600</v>
      </c>
      <c r="K157" s="11">
        <v>10</v>
      </c>
      <c r="L157" s="10">
        <v>3240</v>
      </c>
      <c r="M157" s="7" t="s">
        <v>19</v>
      </c>
      <c r="N157" s="32" t="s">
        <v>32</v>
      </c>
    </row>
    <row r="158" spans="1:14" x14ac:dyDescent="0.25">
      <c r="A158" s="29" t="s">
        <v>346</v>
      </c>
      <c r="B158" s="3">
        <v>45553</v>
      </c>
      <c r="C158" s="4" t="s">
        <v>347</v>
      </c>
      <c r="D158" s="2" t="s">
        <v>35</v>
      </c>
      <c r="E158" s="4" t="s">
        <v>120</v>
      </c>
      <c r="F158" s="2" t="s">
        <v>66</v>
      </c>
      <c r="G158" s="2">
        <v>5</v>
      </c>
      <c r="H158" s="5">
        <v>45</v>
      </c>
      <c r="I158" s="5">
        <v>21.6</v>
      </c>
      <c r="J158" s="5">
        <v>225</v>
      </c>
      <c r="K158" s="6">
        <v>5</v>
      </c>
      <c r="L158" s="5">
        <v>213.75</v>
      </c>
      <c r="M158" s="2" t="s">
        <v>19</v>
      </c>
      <c r="N158" s="31" t="s">
        <v>20</v>
      </c>
    </row>
    <row r="159" spans="1:14" x14ac:dyDescent="0.25">
      <c r="A159" s="30" t="s">
        <v>348</v>
      </c>
      <c r="B159" s="8">
        <v>45370</v>
      </c>
      <c r="C159" s="9" t="s">
        <v>95</v>
      </c>
      <c r="D159" s="7" t="s">
        <v>44</v>
      </c>
      <c r="E159" s="9" t="s">
        <v>88</v>
      </c>
      <c r="F159" s="7" t="s">
        <v>46</v>
      </c>
      <c r="G159" s="7">
        <v>6</v>
      </c>
      <c r="H159" s="10">
        <v>55</v>
      </c>
      <c r="I159" s="10">
        <v>30.25</v>
      </c>
      <c r="J159" s="10">
        <v>330</v>
      </c>
      <c r="K159" s="11">
        <v>15</v>
      </c>
      <c r="L159" s="10">
        <v>280.5</v>
      </c>
      <c r="M159" s="7" t="s">
        <v>47</v>
      </c>
      <c r="N159" s="32" t="s">
        <v>32</v>
      </c>
    </row>
    <row r="160" spans="1:14" x14ac:dyDescent="0.25">
      <c r="A160" s="29" t="s">
        <v>349</v>
      </c>
      <c r="B160" s="3">
        <v>45640</v>
      </c>
      <c r="C160" s="4" t="s">
        <v>350</v>
      </c>
      <c r="D160" s="2" t="s">
        <v>117</v>
      </c>
      <c r="E160" s="4" t="s">
        <v>76</v>
      </c>
      <c r="F160" s="2" t="s">
        <v>70</v>
      </c>
      <c r="G160" s="2">
        <v>11</v>
      </c>
      <c r="H160" s="5">
        <v>110</v>
      </c>
      <c r="I160" s="5">
        <v>49.5</v>
      </c>
      <c r="J160" s="5">
        <v>1210</v>
      </c>
      <c r="K160" s="6">
        <v>10</v>
      </c>
      <c r="L160" s="5">
        <v>1089</v>
      </c>
      <c r="M160" s="2" t="s">
        <v>19</v>
      </c>
      <c r="N160" s="31" t="s">
        <v>20</v>
      </c>
    </row>
    <row r="161" spans="1:14" x14ac:dyDescent="0.25">
      <c r="A161" s="30" t="s">
        <v>351</v>
      </c>
      <c r="B161" s="8">
        <v>45447</v>
      </c>
      <c r="C161" s="9" t="s">
        <v>352</v>
      </c>
      <c r="D161" s="7" t="s">
        <v>117</v>
      </c>
      <c r="E161" s="9" t="s">
        <v>45</v>
      </c>
      <c r="F161" s="7" t="s">
        <v>46</v>
      </c>
      <c r="G161" s="7">
        <v>2</v>
      </c>
      <c r="H161" s="10">
        <v>450</v>
      </c>
      <c r="I161" s="10">
        <v>247.5</v>
      </c>
      <c r="J161" s="10">
        <v>900</v>
      </c>
      <c r="K161" s="11">
        <v>10</v>
      </c>
      <c r="L161" s="10">
        <v>810</v>
      </c>
      <c r="M161" s="7" t="s">
        <v>47</v>
      </c>
      <c r="N161" s="32" t="s">
        <v>32</v>
      </c>
    </row>
    <row r="162" spans="1:14" x14ac:dyDescent="0.25">
      <c r="A162" s="29" t="s">
        <v>353</v>
      </c>
      <c r="B162" s="3">
        <v>45321</v>
      </c>
      <c r="C162" s="4" t="s">
        <v>354</v>
      </c>
      <c r="D162" s="2" t="s">
        <v>44</v>
      </c>
      <c r="E162" s="4" t="s">
        <v>275</v>
      </c>
      <c r="F162" s="2" t="s">
        <v>51</v>
      </c>
      <c r="G162" s="2">
        <v>3</v>
      </c>
      <c r="H162" s="5">
        <v>95</v>
      </c>
      <c r="I162" s="5">
        <v>57</v>
      </c>
      <c r="J162" s="5">
        <v>285</v>
      </c>
      <c r="K162" s="6">
        <v>20</v>
      </c>
      <c r="L162" s="5">
        <v>228</v>
      </c>
      <c r="M162" s="2" t="s">
        <v>47</v>
      </c>
      <c r="N162" s="31" t="s">
        <v>20</v>
      </c>
    </row>
    <row r="163" spans="1:14" x14ac:dyDescent="0.25">
      <c r="A163" s="30" t="s">
        <v>355</v>
      </c>
      <c r="B163" s="8">
        <v>45584</v>
      </c>
      <c r="C163" s="9" t="s">
        <v>301</v>
      </c>
      <c r="D163" s="7" t="s">
        <v>35</v>
      </c>
      <c r="E163" s="9" t="s">
        <v>164</v>
      </c>
      <c r="F163" s="7" t="s">
        <v>31</v>
      </c>
      <c r="G163" s="7">
        <v>20</v>
      </c>
      <c r="H163" s="10">
        <v>85</v>
      </c>
      <c r="I163" s="10">
        <v>39.950000000000003</v>
      </c>
      <c r="J163" s="10">
        <v>1700</v>
      </c>
      <c r="K163" s="11">
        <v>15</v>
      </c>
      <c r="L163" s="10">
        <v>1445</v>
      </c>
      <c r="M163" s="7" t="s">
        <v>26</v>
      </c>
      <c r="N163" s="32" t="s">
        <v>32</v>
      </c>
    </row>
    <row r="164" spans="1:14" x14ac:dyDescent="0.25">
      <c r="A164" s="29" t="s">
        <v>356</v>
      </c>
      <c r="B164" s="3">
        <v>45467</v>
      </c>
      <c r="C164" s="4" t="s">
        <v>64</v>
      </c>
      <c r="D164" s="2" t="s">
        <v>54</v>
      </c>
      <c r="E164" s="4" t="s">
        <v>164</v>
      </c>
      <c r="F164" s="2" t="s">
        <v>31</v>
      </c>
      <c r="G164" s="2">
        <v>6</v>
      </c>
      <c r="H164" s="5">
        <v>85</v>
      </c>
      <c r="I164" s="5">
        <v>39.950000000000003</v>
      </c>
      <c r="J164" s="5">
        <v>510</v>
      </c>
      <c r="K164" s="6">
        <v>0</v>
      </c>
      <c r="L164" s="5">
        <v>510</v>
      </c>
      <c r="M164" s="2" t="s">
        <v>47</v>
      </c>
      <c r="N164" s="31" t="s">
        <v>20</v>
      </c>
    </row>
    <row r="165" spans="1:14" x14ac:dyDescent="0.25">
      <c r="A165" s="30" t="s">
        <v>357</v>
      </c>
      <c r="B165" s="8">
        <v>45559</v>
      </c>
      <c r="C165" s="9" t="s">
        <v>358</v>
      </c>
      <c r="D165" s="7" t="s">
        <v>35</v>
      </c>
      <c r="E165" s="9" t="s">
        <v>69</v>
      </c>
      <c r="F165" s="7" t="s">
        <v>70</v>
      </c>
      <c r="G165" s="7">
        <v>12</v>
      </c>
      <c r="H165" s="10">
        <v>95</v>
      </c>
      <c r="I165" s="10">
        <v>42.75</v>
      </c>
      <c r="J165" s="10">
        <v>1140</v>
      </c>
      <c r="K165" s="11">
        <v>5</v>
      </c>
      <c r="L165" s="10">
        <v>1083</v>
      </c>
      <c r="M165" s="7" t="s">
        <v>26</v>
      </c>
      <c r="N165" s="32" t="s">
        <v>20</v>
      </c>
    </row>
    <row r="166" spans="1:14" x14ac:dyDescent="0.25">
      <c r="A166" s="29" t="s">
        <v>359</v>
      </c>
      <c r="B166" s="3">
        <v>45615</v>
      </c>
      <c r="C166" s="4" t="s">
        <v>360</v>
      </c>
      <c r="D166" s="2" t="s">
        <v>44</v>
      </c>
      <c r="E166" s="4" t="s">
        <v>36</v>
      </c>
      <c r="F166" s="2" t="s">
        <v>31</v>
      </c>
      <c r="G166" s="2">
        <v>11</v>
      </c>
      <c r="H166" s="5">
        <v>65</v>
      </c>
      <c r="I166" s="5">
        <v>30.55</v>
      </c>
      <c r="J166" s="5">
        <v>715</v>
      </c>
      <c r="K166" s="6">
        <v>0</v>
      </c>
      <c r="L166" s="5">
        <v>715</v>
      </c>
      <c r="M166" s="2" t="s">
        <v>47</v>
      </c>
      <c r="N166" s="31" t="s">
        <v>32</v>
      </c>
    </row>
    <row r="167" spans="1:14" x14ac:dyDescent="0.25">
      <c r="A167" s="30" t="s">
        <v>361</v>
      </c>
      <c r="B167" s="8">
        <v>45628</v>
      </c>
      <c r="C167" s="9" t="s">
        <v>362</v>
      </c>
      <c r="D167" s="7" t="s">
        <v>35</v>
      </c>
      <c r="E167" s="9" t="s">
        <v>69</v>
      </c>
      <c r="F167" s="7" t="s">
        <v>70</v>
      </c>
      <c r="G167" s="7">
        <v>3</v>
      </c>
      <c r="H167" s="10">
        <v>95</v>
      </c>
      <c r="I167" s="10">
        <v>42.75</v>
      </c>
      <c r="J167" s="10">
        <v>285</v>
      </c>
      <c r="K167" s="11">
        <v>0</v>
      </c>
      <c r="L167" s="10">
        <v>285</v>
      </c>
      <c r="M167" s="7" t="s">
        <v>47</v>
      </c>
      <c r="N167" s="32" t="s">
        <v>32</v>
      </c>
    </row>
    <row r="168" spans="1:14" x14ac:dyDescent="0.25">
      <c r="A168" s="29" t="s">
        <v>363</v>
      </c>
      <c r="B168" s="3">
        <v>45596</v>
      </c>
      <c r="C168" s="4" t="s">
        <v>286</v>
      </c>
      <c r="D168" s="2" t="s">
        <v>16</v>
      </c>
      <c r="E168" s="4" t="s">
        <v>164</v>
      </c>
      <c r="F168" s="2" t="s">
        <v>31</v>
      </c>
      <c r="G168" s="2">
        <v>18</v>
      </c>
      <c r="H168" s="5">
        <v>85</v>
      </c>
      <c r="I168" s="5">
        <v>39.950000000000003</v>
      </c>
      <c r="J168" s="5">
        <v>1530</v>
      </c>
      <c r="K168" s="6">
        <v>10</v>
      </c>
      <c r="L168" s="5">
        <v>1377</v>
      </c>
      <c r="M168" s="2" t="s">
        <v>47</v>
      </c>
      <c r="N168" s="31" t="s">
        <v>32</v>
      </c>
    </row>
    <row r="169" spans="1:14" x14ac:dyDescent="0.25">
      <c r="A169" s="30" t="s">
        <v>364</v>
      </c>
      <c r="B169" s="8">
        <v>45651</v>
      </c>
      <c r="C169" s="9" t="s">
        <v>365</v>
      </c>
      <c r="D169" s="7" t="s">
        <v>54</v>
      </c>
      <c r="E169" s="9" t="s">
        <v>88</v>
      </c>
      <c r="F169" s="7" t="s">
        <v>46</v>
      </c>
      <c r="G169" s="7">
        <v>3</v>
      </c>
      <c r="H169" s="10">
        <v>55</v>
      </c>
      <c r="I169" s="10">
        <v>30.25</v>
      </c>
      <c r="J169" s="10">
        <v>165</v>
      </c>
      <c r="K169" s="11">
        <v>10</v>
      </c>
      <c r="L169" s="10">
        <v>148.5</v>
      </c>
      <c r="M169" s="7" t="s">
        <v>19</v>
      </c>
      <c r="N169" s="32" t="s">
        <v>32</v>
      </c>
    </row>
    <row r="170" spans="1:14" x14ac:dyDescent="0.25">
      <c r="A170" s="29" t="s">
        <v>366</v>
      </c>
      <c r="B170" s="3">
        <v>45401</v>
      </c>
      <c r="C170" s="4" t="s">
        <v>345</v>
      </c>
      <c r="D170" s="2" t="s">
        <v>75</v>
      </c>
      <c r="E170" s="4" t="s">
        <v>96</v>
      </c>
      <c r="F170" s="2" t="s">
        <v>51</v>
      </c>
      <c r="G170" s="2">
        <v>8</v>
      </c>
      <c r="H170" s="5">
        <v>60</v>
      </c>
      <c r="I170" s="5">
        <v>36</v>
      </c>
      <c r="J170" s="5">
        <v>480</v>
      </c>
      <c r="K170" s="6">
        <v>0</v>
      </c>
      <c r="L170" s="5">
        <v>480</v>
      </c>
      <c r="M170" s="2" t="s">
        <v>19</v>
      </c>
      <c r="N170" s="31" t="s">
        <v>20</v>
      </c>
    </row>
    <row r="171" spans="1:14" x14ac:dyDescent="0.25">
      <c r="A171" s="30" t="s">
        <v>367</v>
      </c>
      <c r="B171" s="8">
        <v>45568</v>
      </c>
      <c r="C171" s="9" t="s">
        <v>368</v>
      </c>
      <c r="D171" s="7" t="s">
        <v>54</v>
      </c>
      <c r="E171" s="9" t="s">
        <v>88</v>
      </c>
      <c r="F171" s="7" t="s">
        <v>46</v>
      </c>
      <c r="G171" s="7">
        <v>2</v>
      </c>
      <c r="H171" s="10">
        <v>55</v>
      </c>
      <c r="I171" s="10">
        <v>30.25</v>
      </c>
      <c r="J171" s="10">
        <v>110</v>
      </c>
      <c r="K171" s="11">
        <v>10</v>
      </c>
      <c r="L171" s="10">
        <v>99</v>
      </c>
      <c r="M171" s="7" t="s">
        <v>26</v>
      </c>
      <c r="N171" s="32" t="s">
        <v>32</v>
      </c>
    </row>
    <row r="172" spans="1:14" x14ac:dyDescent="0.25">
      <c r="A172" s="29" t="s">
        <v>369</v>
      </c>
      <c r="B172" s="3">
        <v>45370</v>
      </c>
      <c r="C172" s="4" t="s">
        <v>277</v>
      </c>
      <c r="D172" s="2" t="s">
        <v>117</v>
      </c>
      <c r="E172" s="4" t="s">
        <v>65</v>
      </c>
      <c r="F172" s="2" t="s">
        <v>66</v>
      </c>
      <c r="G172" s="2">
        <v>6</v>
      </c>
      <c r="H172" s="5">
        <v>65</v>
      </c>
      <c r="I172" s="5">
        <v>31.2</v>
      </c>
      <c r="J172" s="5">
        <v>390</v>
      </c>
      <c r="K172" s="6">
        <v>15</v>
      </c>
      <c r="L172" s="5">
        <v>331.5</v>
      </c>
      <c r="M172" s="2" t="s">
        <v>47</v>
      </c>
      <c r="N172" s="31" t="s">
        <v>20</v>
      </c>
    </row>
    <row r="173" spans="1:14" x14ac:dyDescent="0.25">
      <c r="A173" s="30" t="s">
        <v>370</v>
      </c>
      <c r="B173" s="8">
        <v>45604</v>
      </c>
      <c r="C173" s="9" t="s">
        <v>371</v>
      </c>
      <c r="D173" s="7" t="s">
        <v>75</v>
      </c>
      <c r="E173" s="9" t="s">
        <v>96</v>
      </c>
      <c r="F173" s="7" t="s">
        <v>51</v>
      </c>
      <c r="G173" s="7">
        <v>18</v>
      </c>
      <c r="H173" s="10">
        <v>60</v>
      </c>
      <c r="I173" s="10">
        <v>36</v>
      </c>
      <c r="J173" s="10">
        <v>1080</v>
      </c>
      <c r="K173" s="11">
        <v>5</v>
      </c>
      <c r="L173" s="10">
        <v>1026</v>
      </c>
      <c r="M173" s="7" t="s">
        <v>26</v>
      </c>
      <c r="N173" s="32" t="s">
        <v>20</v>
      </c>
    </row>
    <row r="174" spans="1:14" x14ac:dyDescent="0.25">
      <c r="A174" s="29" t="s">
        <v>372</v>
      </c>
      <c r="B174" s="3">
        <v>45391</v>
      </c>
      <c r="C174" s="4" t="s">
        <v>373</v>
      </c>
      <c r="D174" s="2" t="s">
        <v>59</v>
      </c>
      <c r="E174" s="4" t="s">
        <v>96</v>
      </c>
      <c r="F174" s="2" t="s">
        <v>51</v>
      </c>
      <c r="G174" s="2">
        <v>10</v>
      </c>
      <c r="H174" s="5">
        <v>60</v>
      </c>
      <c r="I174" s="5">
        <v>36</v>
      </c>
      <c r="J174" s="5">
        <v>600</v>
      </c>
      <c r="K174" s="6">
        <v>10</v>
      </c>
      <c r="L174" s="5">
        <v>540</v>
      </c>
      <c r="M174" s="2" t="s">
        <v>47</v>
      </c>
      <c r="N174" s="31" t="s">
        <v>20</v>
      </c>
    </row>
    <row r="175" spans="1:14" x14ac:dyDescent="0.25">
      <c r="A175" s="30" t="s">
        <v>374</v>
      </c>
      <c r="B175" s="8">
        <v>45394</v>
      </c>
      <c r="C175" s="9" t="s">
        <v>375</v>
      </c>
      <c r="D175" s="7" t="s">
        <v>130</v>
      </c>
      <c r="E175" s="9" t="s">
        <v>88</v>
      </c>
      <c r="F175" s="7" t="s">
        <v>46</v>
      </c>
      <c r="G175" s="7">
        <v>9</v>
      </c>
      <c r="H175" s="10">
        <v>55</v>
      </c>
      <c r="I175" s="10">
        <v>30.25</v>
      </c>
      <c r="J175" s="10">
        <v>495</v>
      </c>
      <c r="K175" s="11">
        <v>0</v>
      </c>
      <c r="L175" s="10">
        <v>495</v>
      </c>
      <c r="M175" s="7" t="s">
        <v>26</v>
      </c>
      <c r="N175" s="32" t="s">
        <v>32</v>
      </c>
    </row>
    <row r="176" spans="1:14" x14ac:dyDescent="0.25">
      <c r="A176" s="29" t="s">
        <v>376</v>
      </c>
      <c r="B176" s="3">
        <v>45344</v>
      </c>
      <c r="C176" s="4" t="s">
        <v>377</v>
      </c>
      <c r="D176" s="2" t="s">
        <v>44</v>
      </c>
      <c r="E176" s="4" t="s">
        <v>30</v>
      </c>
      <c r="F176" s="2" t="s">
        <v>31</v>
      </c>
      <c r="G176" s="2">
        <v>10</v>
      </c>
      <c r="H176" s="5">
        <v>72</v>
      </c>
      <c r="I176" s="5">
        <v>33.840000000000003</v>
      </c>
      <c r="J176" s="5">
        <v>720</v>
      </c>
      <c r="K176" s="6">
        <v>0</v>
      </c>
      <c r="L176" s="5">
        <v>720</v>
      </c>
      <c r="M176" s="2" t="s">
        <v>19</v>
      </c>
      <c r="N176" s="31" t="s">
        <v>32</v>
      </c>
    </row>
    <row r="177" spans="1:14" x14ac:dyDescent="0.25">
      <c r="A177" s="30" t="s">
        <v>378</v>
      </c>
      <c r="B177" s="8">
        <v>45515</v>
      </c>
      <c r="C177" s="9" t="s">
        <v>379</v>
      </c>
      <c r="D177" s="7" t="s">
        <v>59</v>
      </c>
      <c r="E177" s="9" t="s">
        <v>126</v>
      </c>
      <c r="F177" s="7" t="s">
        <v>18</v>
      </c>
      <c r="G177" s="7">
        <v>12</v>
      </c>
      <c r="H177" s="10">
        <v>120</v>
      </c>
      <c r="I177" s="10">
        <v>62.4</v>
      </c>
      <c r="J177" s="10">
        <v>1440</v>
      </c>
      <c r="K177" s="11">
        <v>0</v>
      </c>
      <c r="L177" s="10">
        <v>1440</v>
      </c>
      <c r="M177" s="7" t="s">
        <v>47</v>
      </c>
      <c r="N177" s="32" t="s">
        <v>20</v>
      </c>
    </row>
    <row r="178" spans="1:14" x14ac:dyDescent="0.25">
      <c r="A178" s="29" t="s">
        <v>380</v>
      </c>
      <c r="B178" s="3">
        <v>45489</v>
      </c>
      <c r="C178" s="4" t="s">
        <v>330</v>
      </c>
      <c r="D178" s="2" t="s">
        <v>75</v>
      </c>
      <c r="E178" s="4" t="s">
        <v>38</v>
      </c>
      <c r="F178" s="2" t="s">
        <v>18</v>
      </c>
      <c r="G178" s="2">
        <v>1</v>
      </c>
      <c r="H178" s="5">
        <v>30</v>
      </c>
      <c r="I178" s="5">
        <v>15.6</v>
      </c>
      <c r="J178" s="5">
        <v>30</v>
      </c>
      <c r="K178" s="6">
        <v>10</v>
      </c>
      <c r="L178" s="5">
        <v>27</v>
      </c>
      <c r="M178" s="2" t="s">
        <v>26</v>
      </c>
      <c r="N178" s="31" t="s">
        <v>32</v>
      </c>
    </row>
    <row r="179" spans="1:14" x14ac:dyDescent="0.25">
      <c r="A179" s="30" t="s">
        <v>381</v>
      </c>
      <c r="B179" s="8">
        <v>45366</v>
      </c>
      <c r="C179" s="9" t="s">
        <v>358</v>
      </c>
      <c r="D179" s="7" t="s">
        <v>16</v>
      </c>
      <c r="E179" s="9" t="s">
        <v>201</v>
      </c>
      <c r="F179" s="7" t="s">
        <v>66</v>
      </c>
      <c r="G179" s="7">
        <v>16</v>
      </c>
      <c r="H179" s="10">
        <v>110</v>
      </c>
      <c r="I179" s="10">
        <v>52.8</v>
      </c>
      <c r="J179" s="10">
        <v>1760</v>
      </c>
      <c r="K179" s="11">
        <v>0</v>
      </c>
      <c r="L179" s="10">
        <v>1760</v>
      </c>
      <c r="M179" s="7" t="s">
        <v>47</v>
      </c>
      <c r="N179" s="32" t="s">
        <v>32</v>
      </c>
    </row>
    <row r="180" spans="1:14" x14ac:dyDescent="0.25">
      <c r="A180" s="29" t="s">
        <v>382</v>
      </c>
      <c r="B180" s="3">
        <v>45332</v>
      </c>
      <c r="C180" s="4" t="s">
        <v>383</v>
      </c>
      <c r="D180" s="2" t="s">
        <v>75</v>
      </c>
      <c r="E180" s="4" t="s">
        <v>198</v>
      </c>
      <c r="F180" s="2" t="s">
        <v>18</v>
      </c>
      <c r="G180" s="2">
        <v>5</v>
      </c>
      <c r="H180" s="5">
        <v>35</v>
      </c>
      <c r="I180" s="5">
        <v>18.2</v>
      </c>
      <c r="J180" s="5">
        <v>175</v>
      </c>
      <c r="K180" s="6">
        <v>20</v>
      </c>
      <c r="L180" s="5">
        <v>140</v>
      </c>
      <c r="M180" s="2" t="s">
        <v>26</v>
      </c>
      <c r="N180" s="31" t="s">
        <v>32</v>
      </c>
    </row>
    <row r="181" spans="1:14" x14ac:dyDescent="0.25">
      <c r="A181" s="30" t="s">
        <v>384</v>
      </c>
      <c r="B181" s="8">
        <v>45439</v>
      </c>
      <c r="C181" s="9" t="s">
        <v>301</v>
      </c>
      <c r="D181" s="7" t="s">
        <v>44</v>
      </c>
      <c r="E181" s="9" t="s">
        <v>120</v>
      </c>
      <c r="F181" s="7" t="s">
        <v>66</v>
      </c>
      <c r="G181" s="7">
        <v>2</v>
      </c>
      <c r="H181" s="10">
        <v>45</v>
      </c>
      <c r="I181" s="10">
        <v>21.6</v>
      </c>
      <c r="J181" s="10">
        <v>90</v>
      </c>
      <c r="K181" s="11">
        <v>5</v>
      </c>
      <c r="L181" s="10">
        <v>85.5</v>
      </c>
      <c r="M181" s="7" t="s">
        <v>26</v>
      </c>
      <c r="N181" s="32" t="s">
        <v>32</v>
      </c>
    </row>
    <row r="182" spans="1:14" x14ac:dyDescent="0.25">
      <c r="A182" s="29" t="s">
        <v>385</v>
      </c>
      <c r="B182" s="3">
        <v>45348</v>
      </c>
      <c r="C182" s="4" t="s">
        <v>315</v>
      </c>
      <c r="D182" s="2" t="s">
        <v>117</v>
      </c>
      <c r="E182" s="4" t="s">
        <v>45</v>
      </c>
      <c r="F182" s="2" t="s">
        <v>46</v>
      </c>
      <c r="G182" s="2">
        <v>18</v>
      </c>
      <c r="H182" s="5">
        <v>450</v>
      </c>
      <c r="I182" s="5">
        <v>247.5</v>
      </c>
      <c r="J182" s="5">
        <v>8100</v>
      </c>
      <c r="K182" s="6">
        <v>0</v>
      </c>
      <c r="L182" s="5">
        <v>8100</v>
      </c>
      <c r="M182" s="2" t="s">
        <v>47</v>
      </c>
      <c r="N182" s="31" t="s">
        <v>32</v>
      </c>
    </row>
    <row r="183" spans="1:14" x14ac:dyDescent="0.25">
      <c r="A183" s="30" t="s">
        <v>386</v>
      </c>
      <c r="B183" s="8">
        <v>45511</v>
      </c>
      <c r="C183" s="9" t="s">
        <v>116</v>
      </c>
      <c r="D183" s="7" t="s">
        <v>35</v>
      </c>
      <c r="E183" s="9" t="s">
        <v>151</v>
      </c>
      <c r="F183" s="7" t="s">
        <v>18</v>
      </c>
      <c r="G183" s="7">
        <v>8</v>
      </c>
      <c r="H183" s="10">
        <v>95</v>
      </c>
      <c r="I183" s="10">
        <v>49.4</v>
      </c>
      <c r="J183" s="10">
        <v>760</v>
      </c>
      <c r="K183" s="11">
        <v>10</v>
      </c>
      <c r="L183" s="10">
        <v>684</v>
      </c>
      <c r="M183" s="7" t="s">
        <v>26</v>
      </c>
      <c r="N183" s="32" t="s">
        <v>20</v>
      </c>
    </row>
    <row r="184" spans="1:14" x14ac:dyDescent="0.25">
      <c r="A184" s="29" t="s">
        <v>387</v>
      </c>
      <c r="B184" s="3">
        <v>45326</v>
      </c>
      <c r="C184" s="4" t="s">
        <v>40</v>
      </c>
      <c r="D184" s="2" t="s">
        <v>54</v>
      </c>
      <c r="E184" s="4" t="s">
        <v>76</v>
      </c>
      <c r="F184" s="2" t="s">
        <v>70</v>
      </c>
      <c r="G184" s="2">
        <v>17</v>
      </c>
      <c r="H184" s="5">
        <v>110</v>
      </c>
      <c r="I184" s="5">
        <v>49.5</v>
      </c>
      <c r="J184" s="5">
        <v>1870</v>
      </c>
      <c r="K184" s="6">
        <v>20</v>
      </c>
      <c r="L184" s="5">
        <v>1496</v>
      </c>
      <c r="M184" s="2" t="s">
        <v>26</v>
      </c>
      <c r="N184" s="31" t="s">
        <v>20</v>
      </c>
    </row>
    <row r="185" spans="1:14" x14ac:dyDescent="0.25">
      <c r="A185" s="30" t="s">
        <v>388</v>
      </c>
      <c r="B185" s="8">
        <v>45490</v>
      </c>
      <c r="C185" s="9" t="s">
        <v>389</v>
      </c>
      <c r="D185" s="7" t="s">
        <v>23</v>
      </c>
      <c r="E185" s="9" t="s">
        <v>275</v>
      </c>
      <c r="F185" s="7" t="s">
        <v>51</v>
      </c>
      <c r="G185" s="7">
        <v>12</v>
      </c>
      <c r="H185" s="10">
        <v>95</v>
      </c>
      <c r="I185" s="10">
        <v>57</v>
      </c>
      <c r="J185" s="10">
        <v>1140</v>
      </c>
      <c r="K185" s="11">
        <v>0</v>
      </c>
      <c r="L185" s="10">
        <v>1140</v>
      </c>
      <c r="M185" s="7" t="s">
        <v>26</v>
      </c>
      <c r="N185" s="32" t="s">
        <v>20</v>
      </c>
    </row>
    <row r="186" spans="1:14" x14ac:dyDescent="0.25">
      <c r="A186" s="29" t="s">
        <v>390</v>
      </c>
      <c r="B186" s="3">
        <v>45589</v>
      </c>
      <c r="C186" s="4" t="s">
        <v>373</v>
      </c>
      <c r="D186" s="2" t="s">
        <v>130</v>
      </c>
      <c r="E186" s="4" t="s">
        <v>36</v>
      </c>
      <c r="F186" s="2" t="s">
        <v>31</v>
      </c>
      <c r="G186" s="2">
        <v>2</v>
      </c>
      <c r="H186" s="5">
        <v>65</v>
      </c>
      <c r="I186" s="5">
        <v>30.55</v>
      </c>
      <c r="J186" s="5">
        <v>130</v>
      </c>
      <c r="K186" s="6">
        <v>10</v>
      </c>
      <c r="L186" s="5">
        <v>117</v>
      </c>
      <c r="M186" s="2" t="s">
        <v>26</v>
      </c>
      <c r="N186" s="31" t="s">
        <v>32</v>
      </c>
    </row>
    <row r="187" spans="1:14" x14ac:dyDescent="0.25">
      <c r="A187" s="30" t="s">
        <v>391</v>
      </c>
      <c r="B187" s="8">
        <v>45642</v>
      </c>
      <c r="C187" s="9" t="s">
        <v>392</v>
      </c>
      <c r="D187" s="7" t="s">
        <v>130</v>
      </c>
      <c r="E187" s="9" t="s">
        <v>60</v>
      </c>
      <c r="F187" s="7" t="s">
        <v>25</v>
      </c>
      <c r="G187" s="7">
        <v>5</v>
      </c>
      <c r="H187" s="10">
        <v>55</v>
      </c>
      <c r="I187" s="10">
        <v>27.5</v>
      </c>
      <c r="J187" s="10">
        <v>275</v>
      </c>
      <c r="K187" s="11">
        <v>0</v>
      </c>
      <c r="L187" s="10">
        <v>275</v>
      </c>
      <c r="M187" s="7" t="s">
        <v>26</v>
      </c>
      <c r="N187" s="32" t="s">
        <v>32</v>
      </c>
    </row>
    <row r="188" spans="1:14" x14ac:dyDescent="0.25">
      <c r="A188" s="29" t="s">
        <v>393</v>
      </c>
      <c r="B188" s="3">
        <v>45395</v>
      </c>
      <c r="C188" s="4" t="s">
        <v>394</v>
      </c>
      <c r="D188" s="2" t="s">
        <v>23</v>
      </c>
      <c r="E188" s="4" t="s">
        <v>126</v>
      </c>
      <c r="F188" s="2" t="s">
        <v>18</v>
      </c>
      <c r="G188" s="2">
        <v>11</v>
      </c>
      <c r="H188" s="5">
        <v>120</v>
      </c>
      <c r="I188" s="5">
        <v>62.4</v>
      </c>
      <c r="J188" s="5">
        <v>1320</v>
      </c>
      <c r="K188" s="6">
        <v>5</v>
      </c>
      <c r="L188" s="5">
        <v>1254</v>
      </c>
      <c r="M188" s="2" t="s">
        <v>26</v>
      </c>
      <c r="N188" s="31" t="s">
        <v>20</v>
      </c>
    </row>
    <row r="189" spans="1:14" x14ac:dyDescent="0.25">
      <c r="A189" s="30" t="s">
        <v>395</v>
      </c>
      <c r="B189" s="8">
        <v>45421</v>
      </c>
      <c r="C189" s="9" t="s">
        <v>389</v>
      </c>
      <c r="D189" s="7" t="s">
        <v>16</v>
      </c>
      <c r="E189" s="9" t="s">
        <v>126</v>
      </c>
      <c r="F189" s="7" t="s">
        <v>18</v>
      </c>
      <c r="G189" s="7">
        <v>12</v>
      </c>
      <c r="H189" s="10">
        <v>120</v>
      </c>
      <c r="I189" s="10">
        <v>62.4</v>
      </c>
      <c r="J189" s="10">
        <v>1440</v>
      </c>
      <c r="K189" s="11">
        <v>0</v>
      </c>
      <c r="L189" s="10">
        <v>1440</v>
      </c>
      <c r="M189" s="7" t="s">
        <v>47</v>
      </c>
      <c r="N189" s="32" t="s">
        <v>32</v>
      </c>
    </row>
    <row r="190" spans="1:14" x14ac:dyDescent="0.25">
      <c r="A190" s="29" t="s">
        <v>396</v>
      </c>
      <c r="B190" s="3">
        <v>45480</v>
      </c>
      <c r="C190" s="4" t="s">
        <v>262</v>
      </c>
      <c r="D190" s="2" t="s">
        <v>59</v>
      </c>
      <c r="E190" s="4" t="s">
        <v>60</v>
      </c>
      <c r="F190" s="2" t="s">
        <v>25</v>
      </c>
      <c r="G190" s="2">
        <v>13</v>
      </c>
      <c r="H190" s="5">
        <v>55</v>
      </c>
      <c r="I190" s="5">
        <v>27.5</v>
      </c>
      <c r="J190" s="5">
        <v>715</v>
      </c>
      <c r="K190" s="6">
        <v>10</v>
      </c>
      <c r="L190" s="5">
        <v>643.5</v>
      </c>
      <c r="M190" s="2" t="s">
        <v>47</v>
      </c>
      <c r="N190" s="31" t="s">
        <v>32</v>
      </c>
    </row>
    <row r="191" spans="1:14" x14ac:dyDescent="0.25">
      <c r="A191" s="30" t="s">
        <v>397</v>
      </c>
      <c r="B191" s="8">
        <v>45557</v>
      </c>
      <c r="C191" s="9" t="s">
        <v>58</v>
      </c>
      <c r="D191" s="7" t="s">
        <v>29</v>
      </c>
      <c r="E191" s="9" t="s">
        <v>229</v>
      </c>
      <c r="F191" s="7" t="s">
        <v>51</v>
      </c>
      <c r="G191" s="7">
        <v>3</v>
      </c>
      <c r="H191" s="10">
        <v>850</v>
      </c>
      <c r="I191" s="10">
        <v>510</v>
      </c>
      <c r="J191" s="10">
        <v>2550</v>
      </c>
      <c r="K191" s="11">
        <v>10</v>
      </c>
      <c r="L191" s="10">
        <v>2295</v>
      </c>
      <c r="M191" s="7" t="s">
        <v>26</v>
      </c>
      <c r="N191" s="32" t="s">
        <v>20</v>
      </c>
    </row>
    <row r="192" spans="1:14" x14ac:dyDescent="0.25">
      <c r="A192" s="29" t="s">
        <v>398</v>
      </c>
      <c r="B192" s="3">
        <v>45456</v>
      </c>
      <c r="C192" s="4" t="s">
        <v>399</v>
      </c>
      <c r="D192" s="2" t="s">
        <v>35</v>
      </c>
      <c r="E192" s="4" t="s">
        <v>93</v>
      </c>
      <c r="F192" s="2" t="s">
        <v>18</v>
      </c>
      <c r="G192" s="2">
        <v>10</v>
      </c>
      <c r="H192" s="5">
        <v>85</v>
      </c>
      <c r="I192" s="5">
        <v>44.2</v>
      </c>
      <c r="J192" s="5">
        <v>850</v>
      </c>
      <c r="K192" s="6">
        <v>5</v>
      </c>
      <c r="L192" s="5">
        <v>807.5</v>
      </c>
      <c r="M192" s="2" t="s">
        <v>26</v>
      </c>
      <c r="N192" s="31" t="s">
        <v>20</v>
      </c>
    </row>
    <row r="193" spans="1:14" x14ac:dyDescent="0.25">
      <c r="A193" s="30" t="s">
        <v>400</v>
      </c>
      <c r="B193" s="8">
        <v>45519</v>
      </c>
      <c r="C193" s="9" t="s">
        <v>401</v>
      </c>
      <c r="D193" s="7" t="s">
        <v>23</v>
      </c>
      <c r="E193" s="9" t="s">
        <v>96</v>
      </c>
      <c r="F193" s="7" t="s">
        <v>51</v>
      </c>
      <c r="G193" s="7">
        <v>12</v>
      </c>
      <c r="H193" s="10">
        <v>60</v>
      </c>
      <c r="I193" s="10">
        <v>36</v>
      </c>
      <c r="J193" s="10">
        <v>720</v>
      </c>
      <c r="K193" s="11">
        <v>10</v>
      </c>
      <c r="L193" s="10">
        <v>648</v>
      </c>
      <c r="M193" s="7" t="s">
        <v>26</v>
      </c>
      <c r="N193" s="32" t="s">
        <v>20</v>
      </c>
    </row>
    <row r="194" spans="1:14" x14ac:dyDescent="0.25">
      <c r="A194" s="29" t="s">
        <v>402</v>
      </c>
      <c r="B194" s="3">
        <v>45635</v>
      </c>
      <c r="C194" s="4" t="s">
        <v>403</v>
      </c>
      <c r="D194" s="2" t="s">
        <v>35</v>
      </c>
      <c r="E194" s="4" t="s">
        <v>36</v>
      </c>
      <c r="F194" s="2" t="s">
        <v>31</v>
      </c>
      <c r="G194" s="2">
        <v>17</v>
      </c>
      <c r="H194" s="5">
        <v>65</v>
      </c>
      <c r="I194" s="5">
        <v>30.55</v>
      </c>
      <c r="J194" s="5">
        <v>1105</v>
      </c>
      <c r="K194" s="6">
        <v>0</v>
      </c>
      <c r="L194" s="5">
        <v>1105</v>
      </c>
      <c r="M194" s="2" t="s">
        <v>19</v>
      </c>
      <c r="N194" s="31" t="s">
        <v>32</v>
      </c>
    </row>
    <row r="195" spans="1:14" x14ac:dyDescent="0.25">
      <c r="A195" s="30" t="s">
        <v>404</v>
      </c>
      <c r="B195" s="8">
        <v>45516</v>
      </c>
      <c r="C195" s="9" t="s">
        <v>109</v>
      </c>
      <c r="D195" s="7" t="s">
        <v>44</v>
      </c>
      <c r="E195" s="9" t="s">
        <v>114</v>
      </c>
      <c r="F195" s="7" t="s">
        <v>18</v>
      </c>
      <c r="G195" s="7">
        <v>8</v>
      </c>
      <c r="H195" s="10">
        <v>45</v>
      </c>
      <c r="I195" s="10">
        <v>23.4</v>
      </c>
      <c r="J195" s="10">
        <v>360</v>
      </c>
      <c r="K195" s="11">
        <v>10</v>
      </c>
      <c r="L195" s="10">
        <v>324</v>
      </c>
      <c r="M195" s="7" t="s">
        <v>26</v>
      </c>
      <c r="N195" s="32" t="s">
        <v>20</v>
      </c>
    </row>
    <row r="196" spans="1:14" x14ac:dyDescent="0.25">
      <c r="A196" s="29" t="s">
        <v>405</v>
      </c>
      <c r="B196" s="3">
        <v>45370</v>
      </c>
      <c r="C196" s="4" t="s">
        <v>116</v>
      </c>
      <c r="D196" s="2" t="s">
        <v>35</v>
      </c>
      <c r="E196" s="4" t="s">
        <v>36</v>
      </c>
      <c r="F196" s="2" t="s">
        <v>31</v>
      </c>
      <c r="G196" s="2">
        <v>12</v>
      </c>
      <c r="H196" s="5">
        <v>65</v>
      </c>
      <c r="I196" s="5">
        <v>30.55</v>
      </c>
      <c r="J196" s="5">
        <v>780</v>
      </c>
      <c r="K196" s="6">
        <v>15</v>
      </c>
      <c r="L196" s="5">
        <v>663</v>
      </c>
      <c r="M196" s="2" t="s">
        <v>47</v>
      </c>
      <c r="N196" s="31" t="s">
        <v>32</v>
      </c>
    </row>
    <row r="197" spans="1:14" x14ac:dyDescent="0.25">
      <c r="A197" s="30" t="s">
        <v>406</v>
      </c>
      <c r="B197" s="8">
        <v>45495</v>
      </c>
      <c r="C197" s="9" t="s">
        <v>407</v>
      </c>
      <c r="D197" s="7" t="s">
        <v>75</v>
      </c>
      <c r="E197" s="9" t="s">
        <v>275</v>
      </c>
      <c r="F197" s="7" t="s">
        <v>51</v>
      </c>
      <c r="G197" s="7">
        <v>4</v>
      </c>
      <c r="H197" s="10">
        <v>95</v>
      </c>
      <c r="I197" s="10">
        <v>57</v>
      </c>
      <c r="J197" s="10">
        <v>380</v>
      </c>
      <c r="K197" s="11">
        <v>0</v>
      </c>
      <c r="L197" s="10">
        <v>380</v>
      </c>
      <c r="M197" s="7" t="s">
        <v>47</v>
      </c>
      <c r="N197" s="32" t="s">
        <v>20</v>
      </c>
    </row>
    <row r="198" spans="1:14" x14ac:dyDescent="0.25">
      <c r="A198" s="29" t="s">
        <v>408</v>
      </c>
      <c r="B198" s="3">
        <v>45579</v>
      </c>
      <c r="C198" s="4" t="s">
        <v>409</v>
      </c>
      <c r="D198" s="2" t="s">
        <v>16</v>
      </c>
      <c r="E198" s="4" t="s">
        <v>198</v>
      </c>
      <c r="F198" s="2" t="s">
        <v>18</v>
      </c>
      <c r="G198" s="2">
        <v>15</v>
      </c>
      <c r="H198" s="5">
        <v>35</v>
      </c>
      <c r="I198" s="5">
        <v>18.2</v>
      </c>
      <c r="J198" s="5">
        <v>525</v>
      </c>
      <c r="K198" s="6">
        <v>5</v>
      </c>
      <c r="L198" s="5">
        <v>498.75</v>
      </c>
      <c r="M198" s="2" t="s">
        <v>19</v>
      </c>
      <c r="N198" s="31" t="s">
        <v>32</v>
      </c>
    </row>
    <row r="199" spans="1:14" x14ac:dyDescent="0.25">
      <c r="A199" s="30" t="s">
        <v>410</v>
      </c>
      <c r="B199" s="8">
        <v>45354</v>
      </c>
      <c r="C199" s="9" t="s">
        <v>411</v>
      </c>
      <c r="D199" s="7" t="s">
        <v>59</v>
      </c>
      <c r="E199" s="9" t="s">
        <v>201</v>
      </c>
      <c r="F199" s="7" t="s">
        <v>66</v>
      </c>
      <c r="G199" s="7">
        <v>6</v>
      </c>
      <c r="H199" s="10">
        <v>110</v>
      </c>
      <c r="I199" s="10">
        <v>52.8</v>
      </c>
      <c r="J199" s="10">
        <v>660</v>
      </c>
      <c r="K199" s="11">
        <v>15</v>
      </c>
      <c r="L199" s="10">
        <v>561</v>
      </c>
      <c r="M199" s="7" t="s">
        <v>26</v>
      </c>
      <c r="N199" s="32" t="s">
        <v>32</v>
      </c>
    </row>
    <row r="200" spans="1:14" x14ac:dyDescent="0.25">
      <c r="A200" s="29" t="s">
        <v>412</v>
      </c>
      <c r="B200" s="3">
        <v>45469</v>
      </c>
      <c r="C200" s="4" t="s">
        <v>413</v>
      </c>
      <c r="D200" s="2" t="s">
        <v>54</v>
      </c>
      <c r="E200" s="4" t="s">
        <v>164</v>
      </c>
      <c r="F200" s="2" t="s">
        <v>31</v>
      </c>
      <c r="G200" s="2">
        <v>18</v>
      </c>
      <c r="H200" s="5">
        <v>85</v>
      </c>
      <c r="I200" s="5">
        <v>39.950000000000003</v>
      </c>
      <c r="J200" s="5">
        <v>1530</v>
      </c>
      <c r="K200" s="6">
        <v>5</v>
      </c>
      <c r="L200" s="5">
        <v>1453.5</v>
      </c>
      <c r="M200" s="2" t="s">
        <v>26</v>
      </c>
      <c r="N200" s="31" t="s">
        <v>32</v>
      </c>
    </row>
    <row r="201" spans="1:14" x14ac:dyDescent="0.25">
      <c r="A201" s="30" t="s">
        <v>414</v>
      </c>
      <c r="B201" s="8">
        <v>45477</v>
      </c>
      <c r="C201" s="9" t="s">
        <v>289</v>
      </c>
      <c r="D201" s="7" t="s">
        <v>44</v>
      </c>
      <c r="E201" s="9" t="s">
        <v>69</v>
      </c>
      <c r="F201" s="7" t="s">
        <v>70</v>
      </c>
      <c r="G201" s="7">
        <v>7</v>
      </c>
      <c r="H201" s="10">
        <v>95</v>
      </c>
      <c r="I201" s="10">
        <v>42.75</v>
      </c>
      <c r="J201" s="10">
        <v>665</v>
      </c>
      <c r="K201" s="11">
        <v>0</v>
      </c>
      <c r="L201" s="10">
        <v>665</v>
      </c>
      <c r="M201" s="7" t="s">
        <v>47</v>
      </c>
      <c r="N201" s="32" t="s">
        <v>20</v>
      </c>
    </row>
    <row r="202" spans="1:14" x14ac:dyDescent="0.25">
      <c r="A202" s="29" t="s">
        <v>415</v>
      </c>
      <c r="B202" s="3">
        <v>45585</v>
      </c>
      <c r="C202" s="4" t="s">
        <v>416</v>
      </c>
      <c r="D202" s="2" t="s">
        <v>54</v>
      </c>
      <c r="E202" s="4" t="s">
        <v>96</v>
      </c>
      <c r="F202" s="2" t="s">
        <v>51</v>
      </c>
      <c r="G202" s="2">
        <v>5</v>
      </c>
      <c r="H202" s="5">
        <v>60</v>
      </c>
      <c r="I202" s="5">
        <v>36</v>
      </c>
      <c r="J202" s="5">
        <v>300</v>
      </c>
      <c r="K202" s="6">
        <v>0</v>
      </c>
      <c r="L202" s="5">
        <v>300</v>
      </c>
      <c r="M202" s="2" t="s">
        <v>47</v>
      </c>
      <c r="N202" s="31" t="s">
        <v>20</v>
      </c>
    </row>
    <row r="203" spans="1:14" x14ac:dyDescent="0.25">
      <c r="A203" s="30" t="s">
        <v>417</v>
      </c>
      <c r="B203" s="8">
        <v>45502</v>
      </c>
      <c r="C203" s="9" t="s">
        <v>418</v>
      </c>
      <c r="D203" s="7" t="s">
        <v>117</v>
      </c>
      <c r="E203" s="9" t="s">
        <v>45</v>
      </c>
      <c r="F203" s="7" t="s">
        <v>46</v>
      </c>
      <c r="G203" s="7">
        <v>3</v>
      </c>
      <c r="H203" s="10">
        <v>450</v>
      </c>
      <c r="I203" s="10">
        <v>247.5</v>
      </c>
      <c r="J203" s="10">
        <v>1350</v>
      </c>
      <c r="K203" s="11">
        <v>0</v>
      </c>
      <c r="L203" s="10">
        <v>1350</v>
      </c>
      <c r="M203" s="7" t="s">
        <v>26</v>
      </c>
      <c r="N203" s="32" t="s">
        <v>32</v>
      </c>
    </row>
    <row r="204" spans="1:14" x14ac:dyDescent="0.25">
      <c r="A204" s="29" t="s">
        <v>419</v>
      </c>
      <c r="B204" s="3">
        <v>45640</v>
      </c>
      <c r="C204" s="4" t="s">
        <v>74</v>
      </c>
      <c r="D204" s="2" t="s">
        <v>130</v>
      </c>
      <c r="E204" s="4" t="s">
        <v>79</v>
      </c>
      <c r="F204" s="2" t="s">
        <v>70</v>
      </c>
      <c r="G204" s="2">
        <v>18</v>
      </c>
      <c r="H204" s="5">
        <v>70</v>
      </c>
      <c r="I204" s="5">
        <v>31.5</v>
      </c>
      <c r="J204" s="5">
        <v>1260</v>
      </c>
      <c r="K204" s="6">
        <v>0</v>
      </c>
      <c r="L204" s="5">
        <v>1260</v>
      </c>
      <c r="M204" s="2" t="s">
        <v>19</v>
      </c>
      <c r="N204" s="31" t="s">
        <v>32</v>
      </c>
    </row>
    <row r="205" spans="1:14" x14ac:dyDescent="0.25">
      <c r="A205" s="30" t="s">
        <v>420</v>
      </c>
      <c r="B205" s="8">
        <v>45320</v>
      </c>
      <c r="C205" s="9" t="s">
        <v>421</v>
      </c>
      <c r="D205" s="7" t="s">
        <v>54</v>
      </c>
      <c r="E205" s="9" t="s">
        <v>234</v>
      </c>
      <c r="F205" s="7" t="s">
        <v>46</v>
      </c>
      <c r="G205" s="7">
        <v>5</v>
      </c>
      <c r="H205" s="10">
        <v>30</v>
      </c>
      <c r="I205" s="10">
        <v>16.5</v>
      </c>
      <c r="J205" s="10">
        <v>150</v>
      </c>
      <c r="K205" s="11">
        <v>5</v>
      </c>
      <c r="L205" s="10">
        <v>142.5</v>
      </c>
      <c r="M205" s="7" t="s">
        <v>47</v>
      </c>
      <c r="N205" s="32" t="s">
        <v>32</v>
      </c>
    </row>
    <row r="206" spans="1:14" x14ac:dyDescent="0.25">
      <c r="A206" s="29" t="s">
        <v>422</v>
      </c>
      <c r="B206" s="3">
        <v>45557</v>
      </c>
      <c r="C206" s="4" t="s">
        <v>423</v>
      </c>
      <c r="D206" s="2" t="s">
        <v>16</v>
      </c>
      <c r="E206" s="4" t="s">
        <v>229</v>
      </c>
      <c r="F206" s="2" t="s">
        <v>51</v>
      </c>
      <c r="G206" s="2">
        <v>7</v>
      </c>
      <c r="H206" s="5">
        <v>850</v>
      </c>
      <c r="I206" s="5">
        <v>510</v>
      </c>
      <c r="J206" s="5">
        <v>5950</v>
      </c>
      <c r="K206" s="6">
        <v>20</v>
      </c>
      <c r="L206" s="5">
        <v>4760</v>
      </c>
      <c r="M206" s="2" t="s">
        <v>26</v>
      </c>
      <c r="N206" s="31" t="s">
        <v>20</v>
      </c>
    </row>
    <row r="207" spans="1:14" x14ac:dyDescent="0.25">
      <c r="A207" s="30" t="s">
        <v>424</v>
      </c>
      <c r="B207" s="8">
        <v>45339</v>
      </c>
      <c r="C207" s="9" t="s">
        <v>425</v>
      </c>
      <c r="D207" s="7" t="s">
        <v>130</v>
      </c>
      <c r="E207" s="9" t="s">
        <v>76</v>
      </c>
      <c r="F207" s="7" t="s">
        <v>70</v>
      </c>
      <c r="G207" s="7">
        <v>19</v>
      </c>
      <c r="H207" s="10">
        <v>110</v>
      </c>
      <c r="I207" s="10">
        <v>49.5</v>
      </c>
      <c r="J207" s="10">
        <v>2090</v>
      </c>
      <c r="K207" s="11">
        <v>0</v>
      </c>
      <c r="L207" s="10">
        <v>2090</v>
      </c>
      <c r="M207" s="7" t="s">
        <v>26</v>
      </c>
      <c r="N207" s="32" t="s">
        <v>20</v>
      </c>
    </row>
    <row r="208" spans="1:14" x14ac:dyDescent="0.25">
      <c r="A208" s="29" t="s">
        <v>426</v>
      </c>
      <c r="B208" s="3">
        <v>45580</v>
      </c>
      <c r="C208" s="4" t="s">
        <v>139</v>
      </c>
      <c r="D208" s="2" t="s">
        <v>44</v>
      </c>
      <c r="E208" s="4" t="s">
        <v>17</v>
      </c>
      <c r="F208" s="2" t="s">
        <v>18</v>
      </c>
      <c r="G208" s="2">
        <v>2</v>
      </c>
      <c r="H208" s="5">
        <v>20</v>
      </c>
      <c r="I208" s="5">
        <v>10.4</v>
      </c>
      <c r="J208" s="5">
        <v>40</v>
      </c>
      <c r="K208" s="6">
        <v>5</v>
      </c>
      <c r="L208" s="5">
        <v>38</v>
      </c>
      <c r="M208" s="2" t="s">
        <v>26</v>
      </c>
      <c r="N208" s="31" t="s">
        <v>32</v>
      </c>
    </row>
    <row r="209" spans="1:14" x14ac:dyDescent="0.25">
      <c r="A209" s="30" t="s">
        <v>427</v>
      </c>
      <c r="B209" s="8">
        <v>45619</v>
      </c>
      <c r="C209" s="9" t="s">
        <v>428</v>
      </c>
      <c r="D209" s="7" t="s">
        <v>54</v>
      </c>
      <c r="E209" s="9" t="s">
        <v>123</v>
      </c>
      <c r="F209" s="7" t="s">
        <v>18</v>
      </c>
      <c r="G209" s="7">
        <v>10</v>
      </c>
      <c r="H209" s="10">
        <v>75</v>
      </c>
      <c r="I209" s="10">
        <v>39</v>
      </c>
      <c r="J209" s="10">
        <v>750</v>
      </c>
      <c r="K209" s="11">
        <v>5</v>
      </c>
      <c r="L209" s="10">
        <v>712.5</v>
      </c>
      <c r="M209" s="7" t="s">
        <v>26</v>
      </c>
      <c r="N209" s="32" t="s">
        <v>20</v>
      </c>
    </row>
    <row r="210" spans="1:14" x14ac:dyDescent="0.25">
      <c r="A210" s="29" t="s">
        <v>429</v>
      </c>
      <c r="B210" s="3">
        <v>45524</v>
      </c>
      <c r="C210" s="4" t="s">
        <v>430</v>
      </c>
      <c r="D210" s="2" t="s">
        <v>130</v>
      </c>
      <c r="E210" s="4" t="s">
        <v>17</v>
      </c>
      <c r="F210" s="2" t="s">
        <v>18</v>
      </c>
      <c r="G210" s="2">
        <v>15</v>
      </c>
      <c r="H210" s="5">
        <v>20</v>
      </c>
      <c r="I210" s="5">
        <v>10.4</v>
      </c>
      <c r="J210" s="5">
        <v>300</v>
      </c>
      <c r="K210" s="6">
        <v>10</v>
      </c>
      <c r="L210" s="5">
        <v>270</v>
      </c>
      <c r="M210" s="2" t="s">
        <v>19</v>
      </c>
      <c r="N210" s="31" t="s">
        <v>20</v>
      </c>
    </row>
    <row r="211" spans="1:14" x14ac:dyDescent="0.25">
      <c r="A211" s="30" t="s">
        <v>431</v>
      </c>
      <c r="B211" s="8">
        <v>45452</v>
      </c>
      <c r="C211" s="9" t="s">
        <v>15</v>
      </c>
      <c r="D211" s="7" t="s">
        <v>35</v>
      </c>
      <c r="E211" s="9" t="s">
        <v>88</v>
      </c>
      <c r="F211" s="7" t="s">
        <v>46</v>
      </c>
      <c r="G211" s="7">
        <v>12</v>
      </c>
      <c r="H211" s="10">
        <v>55</v>
      </c>
      <c r="I211" s="10">
        <v>30.25</v>
      </c>
      <c r="J211" s="10">
        <v>660</v>
      </c>
      <c r="K211" s="11">
        <v>10</v>
      </c>
      <c r="L211" s="10">
        <v>594</v>
      </c>
      <c r="M211" s="7" t="s">
        <v>47</v>
      </c>
      <c r="N211" s="32" t="s">
        <v>32</v>
      </c>
    </row>
    <row r="212" spans="1:14" x14ac:dyDescent="0.25">
      <c r="A212" s="29" t="s">
        <v>432</v>
      </c>
      <c r="B212" s="3">
        <v>45455</v>
      </c>
      <c r="C212" s="4" t="s">
        <v>68</v>
      </c>
      <c r="D212" s="2" t="s">
        <v>44</v>
      </c>
      <c r="E212" s="4" t="s">
        <v>85</v>
      </c>
      <c r="F212" s="2" t="s">
        <v>66</v>
      </c>
      <c r="G212" s="2">
        <v>9</v>
      </c>
      <c r="H212" s="5">
        <v>55</v>
      </c>
      <c r="I212" s="5">
        <v>26.4</v>
      </c>
      <c r="J212" s="5">
        <v>495</v>
      </c>
      <c r="K212" s="6">
        <v>15</v>
      </c>
      <c r="L212" s="5">
        <v>420.75</v>
      </c>
      <c r="M212" s="2" t="s">
        <v>19</v>
      </c>
      <c r="N212" s="31" t="s">
        <v>20</v>
      </c>
    </row>
    <row r="213" spans="1:14" x14ac:dyDescent="0.25">
      <c r="A213" s="30" t="s">
        <v>433</v>
      </c>
      <c r="B213" s="8">
        <v>45607</v>
      </c>
      <c r="C213" s="9" t="s">
        <v>434</v>
      </c>
      <c r="D213" s="7" t="s">
        <v>130</v>
      </c>
      <c r="E213" s="9" t="s">
        <v>107</v>
      </c>
      <c r="F213" s="7" t="s">
        <v>25</v>
      </c>
      <c r="G213" s="7">
        <v>11</v>
      </c>
      <c r="H213" s="10">
        <v>90</v>
      </c>
      <c r="I213" s="10">
        <v>45</v>
      </c>
      <c r="J213" s="10">
        <v>990</v>
      </c>
      <c r="K213" s="11">
        <v>10</v>
      </c>
      <c r="L213" s="10">
        <v>891</v>
      </c>
      <c r="M213" s="7" t="s">
        <v>19</v>
      </c>
      <c r="N213" s="32" t="s">
        <v>20</v>
      </c>
    </row>
    <row r="214" spans="1:14" x14ac:dyDescent="0.25">
      <c r="A214" s="29" t="s">
        <v>435</v>
      </c>
      <c r="B214" s="3">
        <v>45547</v>
      </c>
      <c r="C214" s="4" t="s">
        <v>436</v>
      </c>
      <c r="D214" s="2" t="s">
        <v>23</v>
      </c>
      <c r="E214" s="4" t="s">
        <v>96</v>
      </c>
      <c r="F214" s="2" t="s">
        <v>51</v>
      </c>
      <c r="G214" s="2">
        <v>3</v>
      </c>
      <c r="H214" s="5">
        <v>60</v>
      </c>
      <c r="I214" s="5">
        <v>36</v>
      </c>
      <c r="J214" s="5">
        <v>180</v>
      </c>
      <c r="K214" s="6">
        <v>10</v>
      </c>
      <c r="L214" s="5">
        <v>162</v>
      </c>
      <c r="M214" s="2" t="s">
        <v>26</v>
      </c>
      <c r="N214" s="31" t="s">
        <v>20</v>
      </c>
    </row>
    <row r="215" spans="1:14" x14ac:dyDescent="0.25">
      <c r="A215" s="30" t="s">
        <v>437</v>
      </c>
      <c r="B215" s="8">
        <v>45472</v>
      </c>
      <c r="C215" s="9" t="s">
        <v>150</v>
      </c>
      <c r="D215" s="7" t="s">
        <v>16</v>
      </c>
      <c r="E215" s="9" t="s">
        <v>17</v>
      </c>
      <c r="F215" s="7" t="s">
        <v>18</v>
      </c>
      <c r="G215" s="7">
        <v>16</v>
      </c>
      <c r="H215" s="10">
        <v>20</v>
      </c>
      <c r="I215" s="10">
        <v>10.4</v>
      </c>
      <c r="J215" s="10">
        <v>320</v>
      </c>
      <c r="K215" s="11">
        <v>15</v>
      </c>
      <c r="L215" s="10">
        <v>272</v>
      </c>
      <c r="M215" s="7" t="s">
        <v>19</v>
      </c>
      <c r="N215" s="32" t="s">
        <v>20</v>
      </c>
    </row>
    <row r="216" spans="1:14" x14ac:dyDescent="0.25">
      <c r="A216" s="29" t="s">
        <v>438</v>
      </c>
      <c r="B216" s="3">
        <v>45360</v>
      </c>
      <c r="C216" s="4" t="s">
        <v>153</v>
      </c>
      <c r="D216" s="2" t="s">
        <v>29</v>
      </c>
      <c r="E216" s="4" t="s">
        <v>275</v>
      </c>
      <c r="F216" s="2" t="s">
        <v>51</v>
      </c>
      <c r="G216" s="2">
        <v>12</v>
      </c>
      <c r="H216" s="5">
        <v>95</v>
      </c>
      <c r="I216" s="5">
        <v>57</v>
      </c>
      <c r="J216" s="5">
        <v>1140</v>
      </c>
      <c r="K216" s="6">
        <v>0</v>
      </c>
      <c r="L216" s="5">
        <v>1140</v>
      </c>
      <c r="M216" s="2" t="s">
        <v>47</v>
      </c>
      <c r="N216" s="31" t="s">
        <v>20</v>
      </c>
    </row>
    <row r="217" spans="1:14" x14ac:dyDescent="0.25">
      <c r="A217" s="30" t="s">
        <v>439</v>
      </c>
      <c r="B217" s="8">
        <v>45575</v>
      </c>
      <c r="C217" s="9" t="s">
        <v>403</v>
      </c>
      <c r="D217" s="7" t="s">
        <v>29</v>
      </c>
      <c r="E217" s="9" t="s">
        <v>229</v>
      </c>
      <c r="F217" s="7" t="s">
        <v>51</v>
      </c>
      <c r="G217" s="7">
        <v>17</v>
      </c>
      <c r="H217" s="10">
        <v>850</v>
      </c>
      <c r="I217" s="10">
        <v>510</v>
      </c>
      <c r="J217" s="10">
        <v>14450</v>
      </c>
      <c r="K217" s="11">
        <v>15</v>
      </c>
      <c r="L217" s="10">
        <v>12282.5</v>
      </c>
      <c r="M217" s="7" t="s">
        <v>19</v>
      </c>
      <c r="N217" s="32" t="s">
        <v>20</v>
      </c>
    </row>
    <row r="218" spans="1:14" x14ac:dyDescent="0.25">
      <c r="A218" s="29" t="s">
        <v>440</v>
      </c>
      <c r="B218" s="3">
        <v>45604</v>
      </c>
      <c r="C218" s="4" t="s">
        <v>441</v>
      </c>
      <c r="D218" s="2" t="s">
        <v>44</v>
      </c>
      <c r="E218" s="4" t="s">
        <v>114</v>
      </c>
      <c r="F218" s="2" t="s">
        <v>18</v>
      </c>
      <c r="G218" s="2">
        <v>13</v>
      </c>
      <c r="H218" s="5">
        <v>45</v>
      </c>
      <c r="I218" s="5">
        <v>23.4</v>
      </c>
      <c r="J218" s="5">
        <v>585</v>
      </c>
      <c r="K218" s="6">
        <v>10</v>
      </c>
      <c r="L218" s="5">
        <v>526.5</v>
      </c>
      <c r="M218" s="2" t="s">
        <v>47</v>
      </c>
      <c r="N218" s="31" t="s">
        <v>32</v>
      </c>
    </row>
    <row r="219" spans="1:14" x14ac:dyDescent="0.25">
      <c r="A219" s="30" t="s">
        <v>442</v>
      </c>
      <c r="B219" s="8">
        <v>45365</v>
      </c>
      <c r="C219" s="9" t="s">
        <v>330</v>
      </c>
      <c r="D219" s="7" t="s">
        <v>54</v>
      </c>
      <c r="E219" s="9" t="s">
        <v>82</v>
      </c>
      <c r="F219" s="7" t="s">
        <v>66</v>
      </c>
      <c r="G219" s="7">
        <v>13</v>
      </c>
      <c r="H219" s="10">
        <v>80</v>
      </c>
      <c r="I219" s="10">
        <v>38.4</v>
      </c>
      <c r="J219" s="10">
        <v>1040</v>
      </c>
      <c r="K219" s="11">
        <v>20</v>
      </c>
      <c r="L219" s="10">
        <v>832</v>
      </c>
      <c r="M219" s="7" t="s">
        <v>19</v>
      </c>
      <c r="N219" s="32" t="s">
        <v>20</v>
      </c>
    </row>
    <row r="220" spans="1:14" x14ac:dyDescent="0.25">
      <c r="A220" s="29" t="s">
        <v>443</v>
      </c>
      <c r="B220" s="3">
        <v>45534</v>
      </c>
      <c r="C220" s="4" t="s">
        <v>209</v>
      </c>
      <c r="D220" s="2" t="s">
        <v>130</v>
      </c>
      <c r="E220" s="4" t="s">
        <v>79</v>
      </c>
      <c r="F220" s="2" t="s">
        <v>70</v>
      </c>
      <c r="G220" s="2">
        <v>20</v>
      </c>
      <c r="H220" s="5">
        <v>70</v>
      </c>
      <c r="I220" s="5">
        <v>31.5</v>
      </c>
      <c r="J220" s="5">
        <v>1400</v>
      </c>
      <c r="K220" s="6">
        <v>20</v>
      </c>
      <c r="L220" s="5">
        <v>1120</v>
      </c>
      <c r="M220" s="2" t="s">
        <v>26</v>
      </c>
      <c r="N220" s="31" t="s">
        <v>20</v>
      </c>
    </row>
    <row r="221" spans="1:14" x14ac:dyDescent="0.25">
      <c r="A221" s="30" t="s">
        <v>444</v>
      </c>
      <c r="B221" s="8">
        <v>45493</v>
      </c>
      <c r="C221" s="9" t="s">
        <v>445</v>
      </c>
      <c r="D221" s="7" t="s">
        <v>16</v>
      </c>
      <c r="E221" s="9" t="s">
        <v>76</v>
      </c>
      <c r="F221" s="7" t="s">
        <v>70</v>
      </c>
      <c r="G221" s="7">
        <v>19</v>
      </c>
      <c r="H221" s="10">
        <v>110</v>
      </c>
      <c r="I221" s="10">
        <v>49.5</v>
      </c>
      <c r="J221" s="10">
        <v>2090</v>
      </c>
      <c r="K221" s="11">
        <v>10</v>
      </c>
      <c r="L221" s="10">
        <v>1881</v>
      </c>
      <c r="M221" s="7" t="s">
        <v>47</v>
      </c>
      <c r="N221" s="32" t="s">
        <v>32</v>
      </c>
    </row>
    <row r="222" spans="1:14" x14ac:dyDescent="0.25">
      <c r="A222" s="29" t="s">
        <v>446</v>
      </c>
      <c r="B222" s="3">
        <v>45580</v>
      </c>
      <c r="C222" s="4" t="s">
        <v>148</v>
      </c>
      <c r="D222" s="2" t="s">
        <v>23</v>
      </c>
      <c r="E222" s="4" t="s">
        <v>96</v>
      </c>
      <c r="F222" s="2" t="s">
        <v>51</v>
      </c>
      <c r="G222" s="2">
        <v>12</v>
      </c>
      <c r="H222" s="5">
        <v>60</v>
      </c>
      <c r="I222" s="5">
        <v>36</v>
      </c>
      <c r="J222" s="5">
        <v>720</v>
      </c>
      <c r="K222" s="6">
        <v>10</v>
      </c>
      <c r="L222" s="5">
        <v>648</v>
      </c>
      <c r="M222" s="2" t="s">
        <v>26</v>
      </c>
      <c r="N222" s="31" t="s">
        <v>20</v>
      </c>
    </row>
    <row r="223" spans="1:14" x14ac:dyDescent="0.25">
      <c r="A223" s="30" t="s">
        <v>447</v>
      </c>
      <c r="B223" s="8">
        <v>45644</v>
      </c>
      <c r="C223" s="9" t="s">
        <v>244</v>
      </c>
      <c r="D223" s="7" t="s">
        <v>117</v>
      </c>
      <c r="E223" s="9" t="s">
        <v>164</v>
      </c>
      <c r="F223" s="7" t="s">
        <v>31</v>
      </c>
      <c r="G223" s="7">
        <v>16</v>
      </c>
      <c r="H223" s="10">
        <v>85</v>
      </c>
      <c r="I223" s="10">
        <v>39.950000000000003</v>
      </c>
      <c r="J223" s="10">
        <v>1360</v>
      </c>
      <c r="K223" s="11">
        <v>5</v>
      </c>
      <c r="L223" s="10">
        <v>1292</v>
      </c>
      <c r="M223" s="7" t="s">
        <v>26</v>
      </c>
      <c r="N223" s="32" t="s">
        <v>32</v>
      </c>
    </row>
    <row r="224" spans="1:14" x14ac:dyDescent="0.25">
      <c r="A224" s="29" t="s">
        <v>448</v>
      </c>
      <c r="B224" s="3">
        <v>45408</v>
      </c>
      <c r="C224" s="4" t="s">
        <v>362</v>
      </c>
      <c r="D224" s="2" t="s">
        <v>117</v>
      </c>
      <c r="E224" s="4" t="s">
        <v>164</v>
      </c>
      <c r="F224" s="2" t="s">
        <v>31</v>
      </c>
      <c r="G224" s="2">
        <v>16</v>
      </c>
      <c r="H224" s="5">
        <v>85</v>
      </c>
      <c r="I224" s="5">
        <v>39.950000000000003</v>
      </c>
      <c r="J224" s="5">
        <v>1360</v>
      </c>
      <c r="K224" s="6">
        <v>0</v>
      </c>
      <c r="L224" s="5">
        <v>1360</v>
      </c>
      <c r="M224" s="2" t="s">
        <v>26</v>
      </c>
      <c r="N224" s="31" t="s">
        <v>32</v>
      </c>
    </row>
    <row r="225" spans="1:14" x14ac:dyDescent="0.25">
      <c r="A225" s="30" t="s">
        <v>449</v>
      </c>
      <c r="B225" s="8">
        <v>45640</v>
      </c>
      <c r="C225" s="9" t="s">
        <v>450</v>
      </c>
      <c r="D225" s="7" t="s">
        <v>117</v>
      </c>
      <c r="E225" s="9" t="s">
        <v>201</v>
      </c>
      <c r="F225" s="7" t="s">
        <v>66</v>
      </c>
      <c r="G225" s="7">
        <v>4</v>
      </c>
      <c r="H225" s="10">
        <v>110</v>
      </c>
      <c r="I225" s="10">
        <v>52.8</v>
      </c>
      <c r="J225" s="10">
        <v>440</v>
      </c>
      <c r="K225" s="11">
        <v>5</v>
      </c>
      <c r="L225" s="10">
        <v>418</v>
      </c>
      <c r="M225" s="7" t="s">
        <v>47</v>
      </c>
      <c r="N225" s="32" t="s">
        <v>20</v>
      </c>
    </row>
    <row r="226" spans="1:14" x14ac:dyDescent="0.25">
      <c r="A226" s="29" t="s">
        <v>451</v>
      </c>
      <c r="B226" s="3">
        <v>45645</v>
      </c>
      <c r="C226" s="4" t="s">
        <v>452</v>
      </c>
      <c r="D226" s="2" t="s">
        <v>54</v>
      </c>
      <c r="E226" s="4" t="s">
        <v>85</v>
      </c>
      <c r="F226" s="2" t="s">
        <v>66</v>
      </c>
      <c r="G226" s="2">
        <v>20</v>
      </c>
      <c r="H226" s="5">
        <v>55</v>
      </c>
      <c r="I226" s="5">
        <v>26.4</v>
      </c>
      <c r="J226" s="5">
        <v>1100</v>
      </c>
      <c r="K226" s="6">
        <v>15</v>
      </c>
      <c r="L226" s="5">
        <v>935</v>
      </c>
      <c r="M226" s="2" t="s">
        <v>26</v>
      </c>
      <c r="N226" s="31" t="s">
        <v>32</v>
      </c>
    </row>
    <row r="227" spans="1:14" x14ac:dyDescent="0.25">
      <c r="A227" s="30" t="s">
        <v>453</v>
      </c>
      <c r="B227" s="8">
        <v>45362</v>
      </c>
      <c r="C227" s="9" t="s">
        <v>454</v>
      </c>
      <c r="D227" s="7" t="s">
        <v>54</v>
      </c>
      <c r="E227" s="9" t="s">
        <v>69</v>
      </c>
      <c r="F227" s="7" t="s">
        <v>70</v>
      </c>
      <c r="G227" s="7">
        <v>11</v>
      </c>
      <c r="H227" s="10">
        <v>95</v>
      </c>
      <c r="I227" s="10">
        <v>42.75</v>
      </c>
      <c r="J227" s="10">
        <v>1045</v>
      </c>
      <c r="K227" s="11">
        <v>15</v>
      </c>
      <c r="L227" s="10">
        <v>888.25</v>
      </c>
      <c r="M227" s="7" t="s">
        <v>47</v>
      </c>
      <c r="N227" s="32" t="s">
        <v>32</v>
      </c>
    </row>
    <row r="228" spans="1:14" x14ac:dyDescent="0.25">
      <c r="A228" s="29" t="s">
        <v>455</v>
      </c>
      <c r="B228" s="3">
        <v>45564</v>
      </c>
      <c r="C228" s="4" t="s">
        <v>58</v>
      </c>
      <c r="D228" s="2" t="s">
        <v>16</v>
      </c>
      <c r="E228" s="4" t="s">
        <v>275</v>
      </c>
      <c r="F228" s="2" t="s">
        <v>51</v>
      </c>
      <c r="G228" s="2">
        <v>20</v>
      </c>
      <c r="H228" s="5">
        <v>95</v>
      </c>
      <c r="I228" s="5">
        <v>57</v>
      </c>
      <c r="J228" s="5">
        <v>1900</v>
      </c>
      <c r="K228" s="6">
        <v>15</v>
      </c>
      <c r="L228" s="5">
        <v>1615</v>
      </c>
      <c r="M228" s="2" t="s">
        <v>19</v>
      </c>
      <c r="N228" s="31" t="s">
        <v>20</v>
      </c>
    </row>
    <row r="229" spans="1:14" x14ac:dyDescent="0.25">
      <c r="A229" s="30" t="s">
        <v>456</v>
      </c>
      <c r="B229" s="8">
        <v>45407</v>
      </c>
      <c r="C229" s="9" t="s">
        <v>457</v>
      </c>
      <c r="D229" s="7" t="s">
        <v>75</v>
      </c>
      <c r="E229" s="9" t="s">
        <v>275</v>
      </c>
      <c r="F229" s="7" t="s">
        <v>51</v>
      </c>
      <c r="G229" s="7">
        <v>16</v>
      </c>
      <c r="H229" s="10">
        <v>95</v>
      </c>
      <c r="I229" s="10">
        <v>57</v>
      </c>
      <c r="J229" s="10">
        <v>1520</v>
      </c>
      <c r="K229" s="11">
        <v>10</v>
      </c>
      <c r="L229" s="10">
        <v>1368</v>
      </c>
      <c r="M229" s="7" t="s">
        <v>47</v>
      </c>
      <c r="N229" s="32" t="s">
        <v>20</v>
      </c>
    </row>
    <row r="230" spans="1:14" x14ac:dyDescent="0.25">
      <c r="A230" s="29" t="s">
        <v>458</v>
      </c>
      <c r="B230" s="3">
        <v>45354</v>
      </c>
      <c r="C230" s="4" t="s">
        <v>315</v>
      </c>
      <c r="D230" s="2" t="s">
        <v>54</v>
      </c>
      <c r="E230" s="4" t="s">
        <v>76</v>
      </c>
      <c r="F230" s="2" t="s">
        <v>70</v>
      </c>
      <c r="G230" s="2">
        <v>13</v>
      </c>
      <c r="H230" s="5">
        <v>110</v>
      </c>
      <c r="I230" s="5">
        <v>49.5</v>
      </c>
      <c r="J230" s="5">
        <v>1430</v>
      </c>
      <c r="K230" s="6">
        <v>10</v>
      </c>
      <c r="L230" s="5">
        <v>1287</v>
      </c>
      <c r="M230" s="2" t="s">
        <v>26</v>
      </c>
      <c r="N230" s="31" t="s">
        <v>32</v>
      </c>
    </row>
    <row r="231" spans="1:14" x14ac:dyDescent="0.25">
      <c r="A231" s="30" t="s">
        <v>459</v>
      </c>
      <c r="B231" s="8">
        <v>45313</v>
      </c>
      <c r="C231" s="9" t="s">
        <v>58</v>
      </c>
      <c r="D231" s="7" t="s">
        <v>35</v>
      </c>
      <c r="E231" s="9" t="s">
        <v>229</v>
      </c>
      <c r="F231" s="7" t="s">
        <v>51</v>
      </c>
      <c r="G231" s="7">
        <v>15</v>
      </c>
      <c r="H231" s="10">
        <v>850</v>
      </c>
      <c r="I231" s="10">
        <v>510</v>
      </c>
      <c r="J231" s="10">
        <v>12750</v>
      </c>
      <c r="K231" s="11">
        <v>5</v>
      </c>
      <c r="L231" s="10">
        <v>12112.5</v>
      </c>
      <c r="M231" s="7" t="s">
        <v>19</v>
      </c>
      <c r="N231" s="32" t="s">
        <v>20</v>
      </c>
    </row>
    <row r="232" spans="1:14" x14ac:dyDescent="0.25">
      <c r="A232" s="29" t="s">
        <v>460</v>
      </c>
      <c r="B232" s="3">
        <v>45579</v>
      </c>
      <c r="C232" s="4" t="s">
        <v>311</v>
      </c>
      <c r="D232" s="2" t="s">
        <v>130</v>
      </c>
      <c r="E232" s="4" t="s">
        <v>36</v>
      </c>
      <c r="F232" s="2" t="s">
        <v>31</v>
      </c>
      <c r="G232" s="2">
        <v>4</v>
      </c>
      <c r="H232" s="5">
        <v>65</v>
      </c>
      <c r="I232" s="5">
        <v>30.55</v>
      </c>
      <c r="J232" s="5">
        <v>260</v>
      </c>
      <c r="K232" s="6">
        <v>5</v>
      </c>
      <c r="L232" s="5">
        <v>247</v>
      </c>
      <c r="M232" s="2" t="s">
        <v>26</v>
      </c>
      <c r="N232" s="31" t="s">
        <v>20</v>
      </c>
    </row>
    <row r="233" spans="1:14" x14ac:dyDescent="0.25">
      <c r="A233" s="30" t="s">
        <v>461</v>
      </c>
      <c r="B233" s="8">
        <v>45618</v>
      </c>
      <c r="C233" s="9" t="s">
        <v>462</v>
      </c>
      <c r="D233" s="7" t="s">
        <v>44</v>
      </c>
      <c r="E233" s="9" t="s">
        <v>201</v>
      </c>
      <c r="F233" s="7" t="s">
        <v>66</v>
      </c>
      <c r="G233" s="7">
        <v>14</v>
      </c>
      <c r="H233" s="10">
        <v>110</v>
      </c>
      <c r="I233" s="10">
        <v>52.8</v>
      </c>
      <c r="J233" s="10">
        <v>1540</v>
      </c>
      <c r="K233" s="11">
        <v>10</v>
      </c>
      <c r="L233" s="10">
        <v>1386</v>
      </c>
      <c r="M233" s="7" t="s">
        <v>19</v>
      </c>
      <c r="N233" s="32" t="s">
        <v>32</v>
      </c>
    </row>
    <row r="234" spans="1:14" x14ac:dyDescent="0.25">
      <c r="A234" s="29" t="s">
        <v>463</v>
      </c>
      <c r="B234" s="3">
        <v>45573</v>
      </c>
      <c r="C234" s="4" t="s">
        <v>155</v>
      </c>
      <c r="D234" s="2" t="s">
        <v>59</v>
      </c>
      <c r="E234" s="4" t="s">
        <v>85</v>
      </c>
      <c r="F234" s="2" t="s">
        <v>66</v>
      </c>
      <c r="G234" s="2">
        <v>16</v>
      </c>
      <c r="H234" s="5">
        <v>55</v>
      </c>
      <c r="I234" s="5">
        <v>26.4</v>
      </c>
      <c r="J234" s="5">
        <v>880</v>
      </c>
      <c r="K234" s="6">
        <v>5</v>
      </c>
      <c r="L234" s="5">
        <v>836</v>
      </c>
      <c r="M234" s="2" t="s">
        <v>19</v>
      </c>
      <c r="N234" s="31" t="s">
        <v>32</v>
      </c>
    </row>
    <row r="235" spans="1:14" x14ac:dyDescent="0.25">
      <c r="A235" s="30" t="s">
        <v>464</v>
      </c>
      <c r="B235" s="8">
        <v>45322</v>
      </c>
      <c r="C235" s="9" t="s">
        <v>465</v>
      </c>
      <c r="D235" s="7" t="s">
        <v>117</v>
      </c>
      <c r="E235" s="9" t="s">
        <v>234</v>
      </c>
      <c r="F235" s="7" t="s">
        <v>46</v>
      </c>
      <c r="G235" s="7">
        <v>8</v>
      </c>
      <c r="H235" s="10">
        <v>30</v>
      </c>
      <c r="I235" s="10">
        <v>16.5</v>
      </c>
      <c r="J235" s="10">
        <v>240</v>
      </c>
      <c r="K235" s="11">
        <v>20</v>
      </c>
      <c r="L235" s="10">
        <v>192</v>
      </c>
      <c r="M235" s="7" t="s">
        <v>26</v>
      </c>
      <c r="N235" s="32" t="s">
        <v>32</v>
      </c>
    </row>
    <row r="236" spans="1:14" x14ac:dyDescent="0.25">
      <c r="A236" s="29" t="s">
        <v>466</v>
      </c>
      <c r="B236" s="3">
        <v>45381</v>
      </c>
      <c r="C236" s="4" t="s">
        <v>326</v>
      </c>
      <c r="D236" s="2" t="s">
        <v>23</v>
      </c>
      <c r="E236" s="4" t="s">
        <v>107</v>
      </c>
      <c r="F236" s="2" t="s">
        <v>25</v>
      </c>
      <c r="G236" s="2">
        <v>13</v>
      </c>
      <c r="H236" s="5">
        <v>90</v>
      </c>
      <c r="I236" s="5">
        <v>45</v>
      </c>
      <c r="J236" s="5">
        <v>1170</v>
      </c>
      <c r="K236" s="6">
        <v>15</v>
      </c>
      <c r="L236" s="5">
        <v>994.5</v>
      </c>
      <c r="M236" s="2" t="s">
        <v>26</v>
      </c>
      <c r="N236" s="31" t="s">
        <v>20</v>
      </c>
    </row>
    <row r="237" spans="1:14" x14ac:dyDescent="0.25">
      <c r="A237" s="30" t="s">
        <v>467</v>
      </c>
      <c r="B237" s="8">
        <v>45311</v>
      </c>
      <c r="C237" s="9" t="s">
        <v>350</v>
      </c>
      <c r="D237" s="7" t="s">
        <v>117</v>
      </c>
      <c r="E237" s="9" t="s">
        <v>198</v>
      </c>
      <c r="F237" s="7" t="s">
        <v>18</v>
      </c>
      <c r="G237" s="7">
        <v>20</v>
      </c>
      <c r="H237" s="10">
        <v>35</v>
      </c>
      <c r="I237" s="10">
        <v>18.2</v>
      </c>
      <c r="J237" s="10">
        <v>700</v>
      </c>
      <c r="K237" s="11">
        <v>0</v>
      </c>
      <c r="L237" s="10">
        <v>700</v>
      </c>
      <c r="M237" s="7" t="s">
        <v>47</v>
      </c>
      <c r="N237" s="32" t="s">
        <v>32</v>
      </c>
    </row>
    <row r="238" spans="1:14" x14ac:dyDescent="0.25">
      <c r="A238" s="29" t="s">
        <v>468</v>
      </c>
      <c r="B238" s="3">
        <v>45570</v>
      </c>
      <c r="C238" s="4" t="s">
        <v>209</v>
      </c>
      <c r="D238" s="2" t="s">
        <v>130</v>
      </c>
      <c r="E238" s="4" t="s">
        <v>79</v>
      </c>
      <c r="F238" s="2" t="s">
        <v>70</v>
      </c>
      <c r="G238" s="2">
        <v>17</v>
      </c>
      <c r="H238" s="5">
        <v>70</v>
      </c>
      <c r="I238" s="5">
        <v>31.5</v>
      </c>
      <c r="J238" s="5">
        <v>1190</v>
      </c>
      <c r="K238" s="6">
        <v>15</v>
      </c>
      <c r="L238" s="5">
        <v>1011.5</v>
      </c>
      <c r="M238" s="2" t="s">
        <v>26</v>
      </c>
      <c r="N238" s="31" t="s">
        <v>20</v>
      </c>
    </row>
    <row r="239" spans="1:14" x14ac:dyDescent="0.25">
      <c r="A239" s="30" t="s">
        <v>469</v>
      </c>
      <c r="B239" s="8">
        <v>45526</v>
      </c>
      <c r="C239" s="9" t="s">
        <v>470</v>
      </c>
      <c r="D239" s="7" t="s">
        <v>130</v>
      </c>
      <c r="E239" s="9" t="s">
        <v>36</v>
      </c>
      <c r="F239" s="7" t="s">
        <v>31</v>
      </c>
      <c r="G239" s="7">
        <v>1</v>
      </c>
      <c r="H239" s="10">
        <v>65</v>
      </c>
      <c r="I239" s="10">
        <v>30.55</v>
      </c>
      <c r="J239" s="10">
        <v>65</v>
      </c>
      <c r="K239" s="11">
        <v>10</v>
      </c>
      <c r="L239" s="10">
        <v>58.5</v>
      </c>
      <c r="M239" s="7" t="s">
        <v>47</v>
      </c>
      <c r="N239" s="32" t="s">
        <v>32</v>
      </c>
    </row>
    <row r="240" spans="1:14" x14ac:dyDescent="0.25">
      <c r="A240" s="29" t="s">
        <v>471</v>
      </c>
      <c r="B240" s="3">
        <v>45604</v>
      </c>
      <c r="C240" s="4" t="s">
        <v>472</v>
      </c>
      <c r="D240" s="2" t="s">
        <v>29</v>
      </c>
      <c r="E240" s="4" t="s">
        <v>88</v>
      </c>
      <c r="F240" s="2" t="s">
        <v>46</v>
      </c>
      <c r="G240" s="2">
        <v>14</v>
      </c>
      <c r="H240" s="5">
        <v>55</v>
      </c>
      <c r="I240" s="5">
        <v>30.25</v>
      </c>
      <c r="J240" s="5">
        <v>770</v>
      </c>
      <c r="K240" s="6">
        <v>20</v>
      </c>
      <c r="L240" s="5">
        <v>616</v>
      </c>
      <c r="M240" s="2" t="s">
        <v>47</v>
      </c>
      <c r="N240" s="31" t="s">
        <v>32</v>
      </c>
    </row>
    <row r="241" spans="1:14" x14ac:dyDescent="0.25">
      <c r="A241" s="30" t="s">
        <v>473</v>
      </c>
      <c r="B241" s="8">
        <v>45363</v>
      </c>
      <c r="C241" s="9" t="s">
        <v>474</v>
      </c>
      <c r="D241" s="7" t="s">
        <v>75</v>
      </c>
      <c r="E241" s="9" t="s">
        <v>196</v>
      </c>
      <c r="F241" s="7" t="s">
        <v>25</v>
      </c>
      <c r="G241" s="7">
        <v>1</v>
      </c>
      <c r="H241" s="10">
        <v>75</v>
      </c>
      <c r="I241" s="10">
        <v>37.5</v>
      </c>
      <c r="J241" s="10">
        <v>75</v>
      </c>
      <c r="K241" s="11">
        <v>5</v>
      </c>
      <c r="L241" s="10">
        <v>71.25</v>
      </c>
      <c r="M241" s="7" t="s">
        <v>47</v>
      </c>
      <c r="N241" s="32" t="s">
        <v>20</v>
      </c>
    </row>
    <row r="242" spans="1:14" x14ac:dyDescent="0.25">
      <c r="A242" s="29" t="s">
        <v>475</v>
      </c>
      <c r="B242" s="3">
        <v>45446</v>
      </c>
      <c r="C242" s="4" t="s">
        <v>40</v>
      </c>
      <c r="D242" s="2" t="s">
        <v>117</v>
      </c>
      <c r="E242" s="4" t="s">
        <v>76</v>
      </c>
      <c r="F242" s="2" t="s">
        <v>70</v>
      </c>
      <c r="G242" s="2">
        <v>1</v>
      </c>
      <c r="H242" s="5">
        <v>110</v>
      </c>
      <c r="I242" s="5">
        <v>49.5</v>
      </c>
      <c r="J242" s="5">
        <v>110</v>
      </c>
      <c r="K242" s="6">
        <v>5</v>
      </c>
      <c r="L242" s="5">
        <v>104.5</v>
      </c>
      <c r="M242" s="2" t="s">
        <v>26</v>
      </c>
      <c r="N242" s="31" t="s">
        <v>32</v>
      </c>
    </row>
    <row r="243" spans="1:14" x14ac:dyDescent="0.25">
      <c r="A243" s="30" t="s">
        <v>476</v>
      </c>
      <c r="B243" s="8">
        <v>45352</v>
      </c>
      <c r="C243" s="9" t="s">
        <v>236</v>
      </c>
      <c r="D243" s="7" t="s">
        <v>130</v>
      </c>
      <c r="E243" s="9" t="s">
        <v>196</v>
      </c>
      <c r="F243" s="7" t="s">
        <v>25</v>
      </c>
      <c r="G243" s="7">
        <v>13</v>
      </c>
      <c r="H243" s="10">
        <v>75</v>
      </c>
      <c r="I243" s="10">
        <v>37.5</v>
      </c>
      <c r="J243" s="10">
        <v>975</v>
      </c>
      <c r="K243" s="11">
        <v>20</v>
      </c>
      <c r="L243" s="10">
        <v>780</v>
      </c>
      <c r="M243" s="7" t="s">
        <v>26</v>
      </c>
      <c r="N243" s="32" t="s">
        <v>32</v>
      </c>
    </row>
    <row r="244" spans="1:14" x14ac:dyDescent="0.25">
      <c r="A244" s="29" t="s">
        <v>477</v>
      </c>
      <c r="B244" s="3">
        <v>45352</v>
      </c>
      <c r="C244" s="4" t="s">
        <v>478</v>
      </c>
      <c r="D244" s="2" t="s">
        <v>35</v>
      </c>
      <c r="E244" s="4" t="s">
        <v>36</v>
      </c>
      <c r="F244" s="2" t="s">
        <v>31</v>
      </c>
      <c r="G244" s="2">
        <v>20</v>
      </c>
      <c r="H244" s="5">
        <v>65</v>
      </c>
      <c r="I244" s="5">
        <v>30.55</v>
      </c>
      <c r="J244" s="5">
        <v>1300</v>
      </c>
      <c r="K244" s="6">
        <v>5</v>
      </c>
      <c r="L244" s="5">
        <v>1235</v>
      </c>
      <c r="M244" s="2" t="s">
        <v>19</v>
      </c>
      <c r="N244" s="31" t="s">
        <v>20</v>
      </c>
    </row>
    <row r="245" spans="1:14" x14ac:dyDescent="0.25">
      <c r="A245" s="30" t="s">
        <v>479</v>
      </c>
      <c r="B245" s="8">
        <v>45602</v>
      </c>
      <c r="C245" s="9" t="s">
        <v>163</v>
      </c>
      <c r="D245" s="7" t="s">
        <v>54</v>
      </c>
      <c r="E245" s="9" t="s">
        <v>96</v>
      </c>
      <c r="F245" s="7" t="s">
        <v>51</v>
      </c>
      <c r="G245" s="7">
        <v>16</v>
      </c>
      <c r="H245" s="10">
        <v>60</v>
      </c>
      <c r="I245" s="10">
        <v>36</v>
      </c>
      <c r="J245" s="10">
        <v>960</v>
      </c>
      <c r="K245" s="11">
        <v>20</v>
      </c>
      <c r="L245" s="10">
        <v>768</v>
      </c>
      <c r="M245" s="7" t="s">
        <v>26</v>
      </c>
      <c r="N245" s="32" t="s">
        <v>20</v>
      </c>
    </row>
    <row r="246" spans="1:14" x14ac:dyDescent="0.25">
      <c r="A246" s="29" t="s">
        <v>480</v>
      </c>
      <c r="B246" s="3">
        <v>45597</v>
      </c>
      <c r="C246" s="4" t="s">
        <v>481</v>
      </c>
      <c r="D246" s="2" t="s">
        <v>54</v>
      </c>
      <c r="E246" s="4" t="s">
        <v>234</v>
      </c>
      <c r="F246" s="2" t="s">
        <v>46</v>
      </c>
      <c r="G246" s="2">
        <v>15</v>
      </c>
      <c r="H246" s="5">
        <v>30</v>
      </c>
      <c r="I246" s="5">
        <v>16.5</v>
      </c>
      <c r="J246" s="5">
        <v>450</v>
      </c>
      <c r="K246" s="6">
        <v>20</v>
      </c>
      <c r="L246" s="5">
        <v>360</v>
      </c>
      <c r="M246" s="2" t="s">
        <v>19</v>
      </c>
      <c r="N246" s="31" t="s">
        <v>32</v>
      </c>
    </row>
    <row r="247" spans="1:14" x14ac:dyDescent="0.25">
      <c r="A247" s="30" t="s">
        <v>482</v>
      </c>
      <c r="B247" s="8">
        <v>45323</v>
      </c>
      <c r="C247" s="9" t="s">
        <v>434</v>
      </c>
      <c r="D247" s="7" t="s">
        <v>54</v>
      </c>
      <c r="E247" s="9" t="s">
        <v>88</v>
      </c>
      <c r="F247" s="7" t="s">
        <v>46</v>
      </c>
      <c r="G247" s="7">
        <v>7</v>
      </c>
      <c r="H247" s="10">
        <v>55</v>
      </c>
      <c r="I247" s="10">
        <v>30.25</v>
      </c>
      <c r="J247" s="10">
        <v>385</v>
      </c>
      <c r="K247" s="11">
        <v>20</v>
      </c>
      <c r="L247" s="10">
        <v>308</v>
      </c>
      <c r="M247" s="7" t="s">
        <v>47</v>
      </c>
      <c r="N247" s="32" t="s">
        <v>32</v>
      </c>
    </row>
    <row r="248" spans="1:14" x14ac:dyDescent="0.25">
      <c r="A248" s="29" t="s">
        <v>483</v>
      </c>
      <c r="B248" s="3">
        <v>45351</v>
      </c>
      <c r="C248" s="4" t="s">
        <v>354</v>
      </c>
      <c r="D248" s="2" t="s">
        <v>117</v>
      </c>
      <c r="E248" s="4" t="s">
        <v>164</v>
      </c>
      <c r="F248" s="2" t="s">
        <v>31</v>
      </c>
      <c r="G248" s="2">
        <v>16</v>
      </c>
      <c r="H248" s="5">
        <v>85</v>
      </c>
      <c r="I248" s="5">
        <v>39.950000000000003</v>
      </c>
      <c r="J248" s="5">
        <v>1360</v>
      </c>
      <c r="K248" s="6">
        <v>0</v>
      </c>
      <c r="L248" s="5">
        <v>1360</v>
      </c>
      <c r="M248" s="2" t="s">
        <v>47</v>
      </c>
      <c r="N248" s="31" t="s">
        <v>32</v>
      </c>
    </row>
    <row r="249" spans="1:14" x14ac:dyDescent="0.25">
      <c r="A249" s="30" t="s">
        <v>484</v>
      </c>
      <c r="B249" s="8">
        <v>45359</v>
      </c>
      <c r="C249" s="9" t="s">
        <v>236</v>
      </c>
      <c r="D249" s="7" t="s">
        <v>59</v>
      </c>
      <c r="E249" s="9" t="s">
        <v>79</v>
      </c>
      <c r="F249" s="7" t="s">
        <v>70</v>
      </c>
      <c r="G249" s="7">
        <v>19</v>
      </c>
      <c r="H249" s="10">
        <v>70</v>
      </c>
      <c r="I249" s="10">
        <v>31.5</v>
      </c>
      <c r="J249" s="10">
        <v>1330</v>
      </c>
      <c r="K249" s="11">
        <v>0</v>
      </c>
      <c r="L249" s="10">
        <v>1330</v>
      </c>
      <c r="M249" s="7" t="s">
        <v>26</v>
      </c>
      <c r="N249" s="32" t="s">
        <v>32</v>
      </c>
    </row>
    <row r="250" spans="1:14" x14ac:dyDescent="0.25">
      <c r="A250" s="29" t="s">
        <v>485</v>
      </c>
      <c r="B250" s="3">
        <v>45303</v>
      </c>
      <c r="C250" s="4" t="s">
        <v>92</v>
      </c>
      <c r="D250" s="2" t="s">
        <v>23</v>
      </c>
      <c r="E250" s="4" t="s">
        <v>196</v>
      </c>
      <c r="F250" s="2" t="s">
        <v>25</v>
      </c>
      <c r="G250" s="2">
        <v>7</v>
      </c>
      <c r="H250" s="5">
        <v>75</v>
      </c>
      <c r="I250" s="5">
        <v>37.5</v>
      </c>
      <c r="J250" s="5">
        <v>525</v>
      </c>
      <c r="K250" s="6">
        <v>0</v>
      </c>
      <c r="L250" s="5">
        <v>525</v>
      </c>
      <c r="M250" s="2" t="s">
        <v>47</v>
      </c>
      <c r="N250" s="31" t="s">
        <v>20</v>
      </c>
    </row>
    <row r="251" spans="1:14" x14ac:dyDescent="0.25">
      <c r="A251" s="30" t="s">
        <v>486</v>
      </c>
      <c r="B251" s="8">
        <v>45322</v>
      </c>
      <c r="C251" s="9" t="s">
        <v>248</v>
      </c>
      <c r="D251" s="7" t="s">
        <v>23</v>
      </c>
      <c r="E251" s="9" t="s">
        <v>123</v>
      </c>
      <c r="F251" s="7" t="s">
        <v>18</v>
      </c>
      <c r="G251" s="7">
        <v>10</v>
      </c>
      <c r="H251" s="10">
        <v>75</v>
      </c>
      <c r="I251" s="10">
        <v>39</v>
      </c>
      <c r="J251" s="10">
        <v>750</v>
      </c>
      <c r="K251" s="11">
        <v>10</v>
      </c>
      <c r="L251" s="10">
        <v>675</v>
      </c>
      <c r="M251" s="7" t="s">
        <v>19</v>
      </c>
      <c r="N251" s="32" t="s">
        <v>20</v>
      </c>
    </row>
    <row r="252" spans="1:14" x14ac:dyDescent="0.25">
      <c r="A252" s="29" t="s">
        <v>487</v>
      </c>
      <c r="B252" s="3">
        <v>45487</v>
      </c>
      <c r="C252" s="4" t="s">
        <v>472</v>
      </c>
      <c r="D252" s="2" t="s">
        <v>29</v>
      </c>
      <c r="E252" s="4" t="s">
        <v>60</v>
      </c>
      <c r="F252" s="2" t="s">
        <v>25</v>
      </c>
      <c r="G252" s="2">
        <v>3</v>
      </c>
      <c r="H252" s="5">
        <v>55</v>
      </c>
      <c r="I252" s="5">
        <v>27.5</v>
      </c>
      <c r="J252" s="5">
        <v>165</v>
      </c>
      <c r="K252" s="6">
        <v>20</v>
      </c>
      <c r="L252" s="5">
        <v>132</v>
      </c>
      <c r="M252" s="2" t="s">
        <v>26</v>
      </c>
      <c r="N252" s="31" t="s">
        <v>20</v>
      </c>
    </row>
    <row r="253" spans="1:14" x14ac:dyDescent="0.25">
      <c r="A253" s="30" t="s">
        <v>488</v>
      </c>
      <c r="B253" s="8">
        <v>45567</v>
      </c>
      <c r="C253" s="9" t="s">
        <v>270</v>
      </c>
      <c r="D253" s="7" t="s">
        <v>75</v>
      </c>
      <c r="E253" s="9" t="s">
        <v>107</v>
      </c>
      <c r="F253" s="7" t="s">
        <v>25</v>
      </c>
      <c r="G253" s="7">
        <v>1</v>
      </c>
      <c r="H253" s="10">
        <v>90</v>
      </c>
      <c r="I253" s="10">
        <v>45</v>
      </c>
      <c r="J253" s="10">
        <v>90</v>
      </c>
      <c r="K253" s="11">
        <v>0</v>
      </c>
      <c r="L253" s="10">
        <v>90</v>
      </c>
      <c r="M253" s="7" t="s">
        <v>47</v>
      </c>
      <c r="N253" s="32" t="s">
        <v>32</v>
      </c>
    </row>
    <row r="254" spans="1:14" x14ac:dyDescent="0.25">
      <c r="A254" s="29" t="s">
        <v>489</v>
      </c>
      <c r="B254" s="3">
        <v>45564</v>
      </c>
      <c r="C254" s="4" t="s">
        <v>490</v>
      </c>
      <c r="D254" s="2" t="s">
        <v>75</v>
      </c>
      <c r="E254" s="4" t="s">
        <v>107</v>
      </c>
      <c r="F254" s="2" t="s">
        <v>25</v>
      </c>
      <c r="G254" s="2">
        <v>15</v>
      </c>
      <c r="H254" s="5">
        <v>90</v>
      </c>
      <c r="I254" s="5">
        <v>45</v>
      </c>
      <c r="J254" s="5">
        <v>1350</v>
      </c>
      <c r="K254" s="6">
        <v>10</v>
      </c>
      <c r="L254" s="5">
        <v>1215</v>
      </c>
      <c r="M254" s="2" t="s">
        <v>19</v>
      </c>
      <c r="N254" s="31" t="s">
        <v>20</v>
      </c>
    </row>
    <row r="255" spans="1:14" x14ac:dyDescent="0.25">
      <c r="A255" s="30" t="s">
        <v>491</v>
      </c>
      <c r="B255" s="8">
        <v>45630</v>
      </c>
      <c r="C255" s="9" t="s">
        <v>403</v>
      </c>
      <c r="D255" s="7" t="s">
        <v>75</v>
      </c>
      <c r="E255" s="9" t="s">
        <v>24</v>
      </c>
      <c r="F255" s="7" t="s">
        <v>25</v>
      </c>
      <c r="G255" s="7">
        <v>7</v>
      </c>
      <c r="H255" s="10">
        <v>40</v>
      </c>
      <c r="I255" s="10">
        <v>20</v>
      </c>
      <c r="J255" s="10">
        <v>280</v>
      </c>
      <c r="K255" s="11">
        <v>0</v>
      </c>
      <c r="L255" s="10">
        <v>280</v>
      </c>
      <c r="M255" s="7" t="s">
        <v>19</v>
      </c>
      <c r="N255" s="32" t="s">
        <v>20</v>
      </c>
    </row>
    <row r="256" spans="1:14" x14ac:dyDescent="0.25">
      <c r="A256" s="29" t="s">
        <v>492</v>
      </c>
      <c r="B256" s="3">
        <v>45652</v>
      </c>
      <c r="C256" s="4" t="s">
        <v>493</v>
      </c>
      <c r="D256" s="2" t="s">
        <v>75</v>
      </c>
      <c r="E256" s="4" t="s">
        <v>234</v>
      </c>
      <c r="F256" s="2" t="s">
        <v>46</v>
      </c>
      <c r="G256" s="2">
        <v>2</v>
      </c>
      <c r="H256" s="5">
        <v>30</v>
      </c>
      <c r="I256" s="5">
        <v>16.5</v>
      </c>
      <c r="J256" s="5">
        <v>60</v>
      </c>
      <c r="K256" s="6">
        <v>10</v>
      </c>
      <c r="L256" s="5">
        <v>54</v>
      </c>
      <c r="M256" s="2" t="s">
        <v>47</v>
      </c>
      <c r="N256" s="31" t="s">
        <v>32</v>
      </c>
    </row>
    <row r="257" spans="1:14" x14ac:dyDescent="0.25">
      <c r="A257" s="30" t="s">
        <v>494</v>
      </c>
      <c r="B257" s="8">
        <v>45549</v>
      </c>
      <c r="C257" s="9" t="s">
        <v>311</v>
      </c>
      <c r="D257" s="7" t="s">
        <v>117</v>
      </c>
      <c r="E257" s="9" t="s">
        <v>50</v>
      </c>
      <c r="F257" s="7" t="s">
        <v>51</v>
      </c>
      <c r="G257" s="7">
        <v>11</v>
      </c>
      <c r="H257" s="10">
        <v>120</v>
      </c>
      <c r="I257" s="10">
        <v>72</v>
      </c>
      <c r="J257" s="10">
        <v>1320</v>
      </c>
      <c r="K257" s="11">
        <v>10</v>
      </c>
      <c r="L257" s="10">
        <v>1188</v>
      </c>
      <c r="M257" s="7" t="s">
        <v>26</v>
      </c>
      <c r="N257" s="32" t="s">
        <v>20</v>
      </c>
    </row>
    <row r="258" spans="1:14" x14ac:dyDescent="0.25">
      <c r="A258" s="29" t="s">
        <v>495</v>
      </c>
      <c r="B258" s="3">
        <v>45503</v>
      </c>
      <c r="C258" s="4" t="s">
        <v>183</v>
      </c>
      <c r="D258" s="2" t="s">
        <v>23</v>
      </c>
      <c r="E258" s="4" t="s">
        <v>275</v>
      </c>
      <c r="F258" s="2" t="s">
        <v>51</v>
      </c>
      <c r="G258" s="2">
        <v>18</v>
      </c>
      <c r="H258" s="5">
        <v>95</v>
      </c>
      <c r="I258" s="5">
        <v>57</v>
      </c>
      <c r="J258" s="5">
        <v>1710</v>
      </c>
      <c r="K258" s="6">
        <v>0</v>
      </c>
      <c r="L258" s="5">
        <v>1710</v>
      </c>
      <c r="M258" s="2" t="s">
        <v>47</v>
      </c>
      <c r="N258" s="31" t="s">
        <v>20</v>
      </c>
    </row>
    <row r="259" spans="1:14" x14ac:dyDescent="0.25">
      <c r="A259" s="30" t="s">
        <v>496</v>
      </c>
      <c r="B259" s="8">
        <v>45468</v>
      </c>
      <c r="C259" s="9" t="s">
        <v>68</v>
      </c>
      <c r="D259" s="7" t="s">
        <v>29</v>
      </c>
      <c r="E259" s="9" t="s">
        <v>30</v>
      </c>
      <c r="F259" s="7" t="s">
        <v>31</v>
      </c>
      <c r="G259" s="7">
        <v>17</v>
      </c>
      <c r="H259" s="10">
        <v>72</v>
      </c>
      <c r="I259" s="10">
        <v>33.840000000000003</v>
      </c>
      <c r="J259" s="10">
        <v>1224</v>
      </c>
      <c r="K259" s="11">
        <v>10</v>
      </c>
      <c r="L259" s="10">
        <v>1101.5999999999999</v>
      </c>
      <c r="M259" s="7" t="s">
        <v>47</v>
      </c>
      <c r="N259" s="32" t="s">
        <v>32</v>
      </c>
    </row>
    <row r="260" spans="1:14" x14ac:dyDescent="0.25">
      <c r="A260" s="29" t="s">
        <v>497</v>
      </c>
      <c r="B260" s="3">
        <v>45386</v>
      </c>
      <c r="C260" s="4" t="s">
        <v>87</v>
      </c>
      <c r="D260" s="2" t="s">
        <v>59</v>
      </c>
      <c r="E260" s="4" t="s">
        <v>88</v>
      </c>
      <c r="F260" s="2" t="s">
        <v>46</v>
      </c>
      <c r="G260" s="2">
        <v>8</v>
      </c>
      <c r="H260" s="5">
        <v>55</v>
      </c>
      <c r="I260" s="5">
        <v>30.25</v>
      </c>
      <c r="J260" s="5">
        <v>440</v>
      </c>
      <c r="K260" s="6">
        <v>5</v>
      </c>
      <c r="L260" s="5">
        <v>418</v>
      </c>
      <c r="M260" s="2" t="s">
        <v>26</v>
      </c>
      <c r="N260" s="31" t="s">
        <v>32</v>
      </c>
    </row>
    <row r="261" spans="1:14" x14ac:dyDescent="0.25">
      <c r="A261" s="30" t="s">
        <v>498</v>
      </c>
      <c r="B261" s="8">
        <v>45321</v>
      </c>
      <c r="C261" s="9" t="s">
        <v>153</v>
      </c>
      <c r="D261" s="7" t="s">
        <v>29</v>
      </c>
      <c r="E261" s="9" t="s">
        <v>79</v>
      </c>
      <c r="F261" s="7" t="s">
        <v>70</v>
      </c>
      <c r="G261" s="7">
        <v>18</v>
      </c>
      <c r="H261" s="10">
        <v>70</v>
      </c>
      <c r="I261" s="10">
        <v>31.5</v>
      </c>
      <c r="J261" s="10">
        <v>1260</v>
      </c>
      <c r="K261" s="11">
        <v>20</v>
      </c>
      <c r="L261" s="10">
        <v>1008</v>
      </c>
      <c r="M261" s="7" t="s">
        <v>19</v>
      </c>
      <c r="N261" s="32" t="s">
        <v>20</v>
      </c>
    </row>
    <row r="262" spans="1:14" x14ac:dyDescent="0.25">
      <c r="A262" s="29" t="s">
        <v>499</v>
      </c>
      <c r="B262" s="3">
        <v>45623</v>
      </c>
      <c r="C262" s="4" t="s">
        <v>187</v>
      </c>
      <c r="D262" s="2" t="s">
        <v>35</v>
      </c>
      <c r="E262" s="4" t="s">
        <v>123</v>
      </c>
      <c r="F262" s="2" t="s">
        <v>18</v>
      </c>
      <c r="G262" s="2">
        <v>3</v>
      </c>
      <c r="H262" s="5">
        <v>75</v>
      </c>
      <c r="I262" s="5">
        <v>39</v>
      </c>
      <c r="J262" s="5">
        <v>225</v>
      </c>
      <c r="K262" s="6">
        <v>20</v>
      </c>
      <c r="L262" s="5">
        <v>180</v>
      </c>
      <c r="M262" s="2" t="s">
        <v>19</v>
      </c>
      <c r="N262" s="31" t="s">
        <v>32</v>
      </c>
    </row>
    <row r="263" spans="1:14" x14ac:dyDescent="0.25">
      <c r="A263" s="30" t="s">
        <v>500</v>
      </c>
      <c r="B263" s="8">
        <v>45636</v>
      </c>
      <c r="C263" s="9" t="s">
        <v>22</v>
      </c>
      <c r="D263" s="7" t="s">
        <v>23</v>
      </c>
      <c r="E263" s="9" t="s">
        <v>76</v>
      </c>
      <c r="F263" s="7" t="s">
        <v>70</v>
      </c>
      <c r="G263" s="7">
        <v>3</v>
      </c>
      <c r="H263" s="10">
        <v>110</v>
      </c>
      <c r="I263" s="10">
        <v>49.5</v>
      </c>
      <c r="J263" s="10">
        <v>330</v>
      </c>
      <c r="K263" s="11">
        <v>5</v>
      </c>
      <c r="L263" s="10">
        <v>313.5</v>
      </c>
      <c r="M263" s="7" t="s">
        <v>47</v>
      </c>
      <c r="N263" s="32" t="s">
        <v>32</v>
      </c>
    </row>
    <row r="264" spans="1:14" x14ac:dyDescent="0.25">
      <c r="A264" s="29" t="s">
        <v>501</v>
      </c>
      <c r="B264" s="3">
        <v>45537</v>
      </c>
      <c r="C264" s="4" t="s">
        <v>217</v>
      </c>
      <c r="D264" s="2" t="s">
        <v>16</v>
      </c>
      <c r="E264" s="4" t="s">
        <v>120</v>
      </c>
      <c r="F264" s="2" t="s">
        <v>66</v>
      </c>
      <c r="G264" s="2">
        <v>1</v>
      </c>
      <c r="H264" s="5">
        <v>45</v>
      </c>
      <c r="I264" s="5">
        <v>21.6</v>
      </c>
      <c r="J264" s="5">
        <v>45</v>
      </c>
      <c r="K264" s="6">
        <v>5</v>
      </c>
      <c r="L264" s="5">
        <v>42.75</v>
      </c>
      <c r="M264" s="2" t="s">
        <v>26</v>
      </c>
      <c r="N264" s="31" t="s">
        <v>32</v>
      </c>
    </row>
    <row r="265" spans="1:14" x14ac:dyDescent="0.25">
      <c r="A265" s="30" t="s">
        <v>502</v>
      </c>
      <c r="B265" s="8">
        <v>45537</v>
      </c>
      <c r="C265" s="9" t="s">
        <v>503</v>
      </c>
      <c r="D265" s="7" t="s">
        <v>75</v>
      </c>
      <c r="E265" s="9" t="s">
        <v>82</v>
      </c>
      <c r="F265" s="7" t="s">
        <v>66</v>
      </c>
      <c r="G265" s="7">
        <v>13</v>
      </c>
      <c r="H265" s="10">
        <v>80</v>
      </c>
      <c r="I265" s="10">
        <v>38.4</v>
      </c>
      <c r="J265" s="10">
        <v>1040</v>
      </c>
      <c r="K265" s="11">
        <v>5</v>
      </c>
      <c r="L265" s="10">
        <v>988</v>
      </c>
      <c r="M265" s="7" t="s">
        <v>26</v>
      </c>
      <c r="N265" s="32" t="s">
        <v>32</v>
      </c>
    </row>
    <row r="266" spans="1:14" x14ac:dyDescent="0.25">
      <c r="A266" s="29" t="s">
        <v>504</v>
      </c>
      <c r="B266" s="3">
        <v>45565</v>
      </c>
      <c r="C266" s="4" t="s">
        <v>389</v>
      </c>
      <c r="D266" s="2" t="s">
        <v>16</v>
      </c>
      <c r="E266" s="4" t="s">
        <v>36</v>
      </c>
      <c r="F266" s="2" t="s">
        <v>31</v>
      </c>
      <c r="G266" s="2">
        <v>9</v>
      </c>
      <c r="H266" s="5">
        <v>65</v>
      </c>
      <c r="I266" s="5">
        <v>30.55</v>
      </c>
      <c r="J266" s="5">
        <v>585</v>
      </c>
      <c r="K266" s="6">
        <v>10</v>
      </c>
      <c r="L266" s="5">
        <v>526.5</v>
      </c>
      <c r="M266" s="2" t="s">
        <v>47</v>
      </c>
      <c r="N266" s="31" t="s">
        <v>32</v>
      </c>
    </row>
    <row r="267" spans="1:14" x14ac:dyDescent="0.25">
      <c r="A267" s="30" t="s">
        <v>505</v>
      </c>
      <c r="B267" s="8">
        <v>45532</v>
      </c>
      <c r="C267" s="9" t="s">
        <v>506</v>
      </c>
      <c r="D267" s="7" t="s">
        <v>75</v>
      </c>
      <c r="E267" s="9" t="s">
        <v>45</v>
      </c>
      <c r="F267" s="7" t="s">
        <v>46</v>
      </c>
      <c r="G267" s="7">
        <v>12</v>
      </c>
      <c r="H267" s="10">
        <v>450</v>
      </c>
      <c r="I267" s="10">
        <v>247.5</v>
      </c>
      <c r="J267" s="10">
        <v>5400</v>
      </c>
      <c r="K267" s="11">
        <v>10</v>
      </c>
      <c r="L267" s="10">
        <v>4860</v>
      </c>
      <c r="M267" s="7" t="s">
        <v>47</v>
      </c>
      <c r="N267" s="32" t="s">
        <v>32</v>
      </c>
    </row>
    <row r="268" spans="1:14" x14ac:dyDescent="0.25">
      <c r="A268" s="29" t="s">
        <v>507</v>
      </c>
      <c r="B268" s="3">
        <v>45366</v>
      </c>
      <c r="C268" s="4" t="s">
        <v>335</v>
      </c>
      <c r="D268" s="2" t="s">
        <v>54</v>
      </c>
      <c r="E268" s="4" t="s">
        <v>198</v>
      </c>
      <c r="F268" s="2" t="s">
        <v>18</v>
      </c>
      <c r="G268" s="2">
        <v>19</v>
      </c>
      <c r="H268" s="5">
        <v>35</v>
      </c>
      <c r="I268" s="5">
        <v>18.2</v>
      </c>
      <c r="J268" s="5">
        <v>665</v>
      </c>
      <c r="K268" s="6">
        <v>10</v>
      </c>
      <c r="L268" s="5">
        <v>598.5</v>
      </c>
      <c r="M268" s="2" t="s">
        <v>19</v>
      </c>
      <c r="N268" s="31" t="s">
        <v>20</v>
      </c>
    </row>
    <row r="269" spans="1:14" x14ac:dyDescent="0.25">
      <c r="A269" s="30" t="s">
        <v>508</v>
      </c>
      <c r="B269" s="8">
        <v>45583</v>
      </c>
      <c r="C269" s="9" t="s">
        <v>242</v>
      </c>
      <c r="D269" s="7" t="s">
        <v>59</v>
      </c>
      <c r="E269" s="9" t="s">
        <v>234</v>
      </c>
      <c r="F269" s="7" t="s">
        <v>46</v>
      </c>
      <c r="G269" s="7">
        <v>18</v>
      </c>
      <c r="H269" s="10">
        <v>30</v>
      </c>
      <c r="I269" s="10">
        <v>16.5</v>
      </c>
      <c r="J269" s="10">
        <v>540</v>
      </c>
      <c r="K269" s="11">
        <v>10</v>
      </c>
      <c r="L269" s="10">
        <v>486</v>
      </c>
      <c r="M269" s="7" t="s">
        <v>26</v>
      </c>
      <c r="N269" s="32" t="s">
        <v>32</v>
      </c>
    </row>
    <row r="270" spans="1:14" x14ac:dyDescent="0.25">
      <c r="A270" s="29" t="s">
        <v>509</v>
      </c>
      <c r="B270" s="3">
        <v>45378</v>
      </c>
      <c r="C270" s="4" t="s">
        <v>510</v>
      </c>
      <c r="D270" s="2" t="s">
        <v>130</v>
      </c>
      <c r="E270" s="4" t="s">
        <v>36</v>
      </c>
      <c r="F270" s="2" t="s">
        <v>31</v>
      </c>
      <c r="G270" s="2">
        <v>5</v>
      </c>
      <c r="H270" s="5">
        <v>65</v>
      </c>
      <c r="I270" s="5">
        <v>30.55</v>
      </c>
      <c r="J270" s="5">
        <v>325</v>
      </c>
      <c r="K270" s="6">
        <v>20</v>
      </c>
      <c r="L270" s="5">
        <v>260</v>
      </c>
      <c r="M270" s="2" t="s">
        <v>26</v>
      </c>
      <c r="N270" s="31" t="s">
        <v>32</v>
      </c>
    </row>
    <row r="271" spans="1:14" x14ac:dyDescent="0.25">
      <c r="A271" s="30" t="s">
        <v>511</v>
      </c>
      <c r="B271" s="8">
        <v>45322</v>
      </c>
      <c r="C271" s="9" t="s">
        <v>512</v>
      </c>
      <c r="D271" s="7" t="s">
        <v>44</v>
      </c>
      <c r="E271" s="9" t="s">
        <v>69</v>
      </c>
      <c r="F271" s="7" t="s">
        <v>70</v>
      </c>
      <c r="G271" s="7">
        <v>2</v>
      </c>
      <c r="H271" s="10">
        <v>95</v>
      </c>
      <c r="I271" s="10">
        <v>42.75</v>
      </c>
      <c r="J271" s="10">
        <v>190</v>
      </c>
      <c r="K271" s="11">
        <v>0</v>
      </c>
      <c r="L271" s="10">
        <v>190</v>
      </c>
      <c r="M271" s="7" t="s">
        <v>26</v>
      </c>
      <c r="N271" s="32" t="s">
        <v>32</v>
      </c>
    </row>
    <row r="272" spans="1:14" x14ac:dyDescent="0.25">
      <c r="A272" s="29" t="s">
        <v>513</v>
      </c>
      <c r="B272" s="3">
        <v>45654</v>
      </c>
      <c r="C272" s="4" t="s">
        <v>514</v>
      </c>
      <c r="D272" s="2" t="s">
        <v>75</v>
      </c>
      <c r="E272" s="4" t="s">
        <v>201</v>
      </c>
      <c r="F272" s="2" t="s">
        <v>66</v>
      </c>
      <c r="G272" s="2">
        <v>17</v>
      </c>
      <c r="H272" s="5">
        <v>110</v>
      </c>
      <c r="I272" s="5">
        <v>52.8</v>
      </c>
      <c r="J272" s="5">
        <v>1870</v>
      </c>
      <c r="K272" s="6">
        <v>15</v>
      </c>
      <c r="L272" s="5">
        <v>1589.5</v>
      </c>
      <c r="M272" s="2" t="s">
        <v>26</v>
      </c>
      <c r="N272" s="31" t="s">
        <v>32</v>
      </c>
    </row>
    <row r="273" spans="1:14" x14ac:dyDescent="0.25">
      <c r="A273" s="30" t="s">
        <v>515</v>
      </c>
      <c r="B273" s="8">
        <v>45539</v>
      </c>
      <c r="C273" s="9" t="s">
        <v>516</v>
      </c>
      <c r="D273" s="7" t="s">
        <v>23</v>
      </c>
      <c r="E273" s="9" t="s">
        <v>36</v>
      </c>
      <c r="F273" s="7" t="s">
        <v>31</v>
      </c>
      <c r="G273" s="7">
        <v>1</v>
      </c>
      <c r="H273" s="10">
        <v>65</v>
      </c>
      <c r="I273" s="10">
        <v>30.55</v>
      </c>
      <c r="J273" s="10">
        <v>65</v>
      </c>
      <c r="K273" s="11">
        <v>20</v>
      </c>
      <c r="L273" s="10">
        <v>52</v>
      </c>
      <c r="M273" s="7" t="s">
        <v>19</v>
      </c>
      <c r="N273" s="32" t="s">
        <v>32</v>
      </c>
    </row>
    <row r="274" spans="1:14" x14ac:dyDescent="0.25">
      <c r="A274" s="29" t="s">
        <v>517</v>
      </c>
      <c r="B274" s="3">
        <v>45432</v>
      </c>
      <c r="C274" s="4" t="s">
        <v>113</v>
      </c>
      <c r="D274" s="2" t="s">
        <v>23</v>
      </c>
      <c r="E274" s="4" t="s">
        <v>79</v>
      </c>
      <c r="F274" s="2" t="s">
        <v>70</v>
      </c>
      <c r="G274" s="2">
        <v>17</v>
      </c>
      <c r="H274" s="5">
        <v>70</v>
      </c>
      <c r="I274" s="5">
        <v>31.5</v>
      </c>
      <c r="J274" s="5">
        <v>1190</v>
      </c>
      <c r="K274" s="6">
        <v>10</v>
      </c>
      <c r="L274" s="5">
        <v>1071</v>
      </c>
      <c r="M274" s="2" t="s">
        <v>26</v>
      </c>
      <c r="N274" s="31" t="s">
        <v>32</v>
      </c>
    </row>
    <row r="275" spans="1:14" x14ac:dyDescent="0.25">
      <c r="A275" s="30" t="s">
        <v>518</v>
      </c>
      <c r="B275" s="8">
        <v>45341</v>
      </c>
      <c r="C275" s="9" t="s">
        <v>519</v>
      </c>
      <c r="D275" s="7" t="s">
        <v>75</v>
      </c>
      <c r="E275" s="9" t="s">
        <v>69</v>
      </c>
      <c r="F275" s="7" t="s">
        <v>70</v>
      </c>
      <c r="G275" s="7">
        <v>7</v>
      </c>
      <c r="H275" s="10">
        <v>95</v>
      </c>
      <c r="I275" s="10">
        <v>42.75</v>
      </c>
      <c r="J275" s="10">
        <v>665</v>
      </c>
      <c r="K275" s="11">
        <v>20</v>
      </c>
      <c r="L275" s="10">
        <v>532</v>
      </c>
      <c r="M275" s="7" t="s">
        <v>47</v>
      </c>
      <c r="N275" s="32" t="s">
        <v>20</v>
      </c>
    </row>
    <row r="276" spans="1:14" x14ac:dyDescent="0.25">
      <c r="A276" s="29" t="s">
        <v>520</v>
      </c>
      <c r="B276" s="3">
        <v>45483</v>
      </c>
      <c r="C276" s="4" t="s">
        <v>132</v>
      </c>
      <c r="D276" s="2" t="s">
        <v>117</v>
      </c>
      <c r="E276" s="4" t="s">
        <v>60</v>
      </c>
      <c r="F276" s="2" t="s">
        <v>25</v>
      </c>
      <c r="G276" s="2">
        <v>8</v>
      </c>
      <c r="H276" s="5">
        <v>55</v>
      </c>
      <c r="I276" s="5">
        <v>27.5</v>
      </c>
      <c r="J276" s="5">
        <v>440</v>
      </c>
      <c r="K276" s="6">
        <v>5</v>
      </c>
      <c r="L276" s="5">
        <v>418</v>
      </c>
      <c r="M276" s="2" t="s">
        <v>26</v>
      </c>
      <c r="N276" s="31" t="s">
        <v>20</v>
      </c>
    </row>
    <row r="277" spans="1:14" x14ac:dyDescent="0.25">
      <c r="A277" s="30" t="s">
        <v>521</v>
      </c>
      <c r="B277" s="8">
        <v>45624</v>
      </c>
      <c r="C277" s="9" t="s">
        <v>221</v>
      </c>
      <c r="D277" s="7" t="s">
        <v>44</v>
      </c>
      <c r="E277" s="9" t="s">
        <v>234</v>
      </c>
      <c r="F277" s="7" t="s">
        <v>46</v>
      </c>
      <c r="G277" s="7">
        <v>13</v>
      </c>
      <c r="H277" s="10">
        <v>30</v>
      </c>
      <c r="I277" s="10">
        <v>16.5</v>
      </c>
      <c r="J277" s="10">
        <v>390</v>
      </c>
      <c r="K277" s="11">
        <v>10</v>
      </c>
      <c r="L277" s="10">
        <v>351</v>
      </c>
      <c r="M277" s="7" t="s">
        <v>47</v>
      </c>
      <c r="N277" s="32" t="s">
        <v>32</v>
      </c>
    </row>
    <row r="278" spans="1:14" x14ac:dyDescent="0.25">
      <c r="A278" s="29" t="s">
        <v>522</v>
      </c>
      <c r="B278" s="3">
        <v>45379</v>
      </c>
      <c r="C278" s="4" t="s">
        <v>523</v>
      </c>
      <c r="D278" s="2" t="s">
        <v>29</v>
      </c>
      <c r="E278" s="4" t="s">
        <v>123</v>
      </c>
      <c r="F278" s="2" t="s">
        <v>18</v>
      </c>
      <c r="G278" s="2">
        <v>11</v>
      </c>
      <c r="H278" s="5">
        <v>75</v>
      </c>
      <c r="I278" s="5">
        <v>39</v>
      </c>
      <c r="J278" s="5">
        <v>825</v>
      </c>
      <c r="K278" s="6">
        <v>0</v>
      </c>
      <c r="L278" s="5">
        <v>825</v>
      </c>
      <c r="M278" s="2" t="s">
        <v>26</v>
      </c>
      <c r="N278" s="31" t="s">
        <v>32</v>
      </c>
    </row>
    <row r="279" spans="1:14" x14ac:dyDescent="0.25">
      <c r="A279" s="30" t="s">
        <v>524</v>
      </c>
      <c r="B279" s="8">
        <v>45646</v>
      </c>
      <c r="C279" s="9" t="s">
        <v>525</v>
      </c>
      <c r="D279" s="7" t="s">
        <v>16</v>
      </c>
      <c r="E279" s="9" t="s">
        <v>79</v>
      </c>
      <c r="F279" s="7" t="s">
        <v>70</v>
      </c>
      <c r="G279" s="7">
        <v>2</v>
      </c>
      <c r="H279" s="10">
        <v>70</v>
      </c>
      <c r="I279" s="10">
        <v>31.5</v>
      </c>
      <c r="J279" s="10">
        <v>140</v>
      </c>
      <c r="K279" s="11">
        <v>0</v>
      </c>
      <c r="L279" s="10">
        <v>140</v>
      </c>
      <c r="M279" s="7" t="s">
        <v>19</v>
      </c>
      <c r="N279" s="32" t="s">
        <v>32</v>
      </c>
    </row>
    <row r="280" spans="1:14" x14ac:dyDescent="0.25">
      <c r="A280" s="29" t="s">
        <v>526</v>
      </c>
      <c r="B280" s="3">
        <v>45628</v>
      </c>
      <c r="C280" s="4" t="s">
        <v>407</v>
      </c>
      <c r="D280" s="2" t="s">
        <v>35</v>
      </c>
      <c r="E280" s="4" t="s">
        <v>114</v>
      </c>
      <c r="F280" s="2" t="s">
        <v>18</v>
      </c>
      <c r="G280" s="2">
        <v>1</v>
      </c>
      <c r="H280" s="5">
        <v>45</v>
      </c>
      <c r="I280" s="5">
        <v>23.4</v>
      </c>
      <c r="J280" s="5">
        <v>45</v>
      </c>
      <c r="K280" s="6">
        <v>5</v>
      </c>
      <c r="L280" s="5">
        <v>42.75</v>
      </c>
      <c r="M280" s="2" t="s">
        <v>26</v>
      </c>
      <c r="N280" s="31" t="s">
        <v>20</v>
      </c>
    </row>
    <row r="281" spans="1:14" x14ac:dyDescent="0.25">
      <c r="A281" s="30" t="s">
        <v>527</v>
      </c>
      <c r="B281" s="8">
        <v>45331</v>
      </c>
      <c r="C281" s="9" t="s">
        <v>528</v>
      </c>
      <c r="D281" s="7" t="s">
        <v>117</v>
      </c>
      <c r="E281" s="9" t="s">
        <v>50</v>
      </c>
      <c r="F281" s="7" t="s">
        <v>51</v>
      </c>
      <c r="G281" s="7">
        <v>8</v>
      </c>
      <c r="H281" s="10">
        <v>120</v>
      </c>
      <c r="I281" s="10">
        <v>72</v>
      </c>
      <c r="J281" s="10">
        <v>960</v>
      </c>
      <c r="K281" s="11">
        <v>10</v>
      </c>
      <c r="L281" s="10">
        <v>864</v>
      </c>
      <c r="M281" s="7" t="s">
        <v>47</v>
      </c>
      <c r="N281" s="32" t="s">
        <v>20</v>
      </c>
    </row>
    <row r="282" spans="1:14" x14ac:dyDescent="0.25">
      <c r="A282" s="29" t="s">
        <v>529</v>
      </c>
      <c r="B282" s="3">
        <v>45363</v>
      </c>
      <c r="C282" s="4" t="s">
        <v>530</v>
      </c>
      <c r="D282" s="2" t="s">
        <v>44</v>
      </c>
      <c r="E282" s="4" t="s">
        <v>88</v>
      </c>
      <c r="F282" s="2" t="s">
        <v>46</v>
      </c>
      <c r="G282" s="2">
        <v>17</v>
      </c>
      <c r="H282" s="5">
        <v>55</v>
      </c>
      <c r="I282" s="5">
        <v>30.25</v>
      </c>
      <c r="J282" s="5">
        <v>935</v>
      </c>
      <c r="K282" s="6">
        <v>10</v>
      </c>
      <c r="L282" s="5">
        <v>841.5</v>
      </c>
      <c r="M282" s="2" t="s">
        <v>47</v>
      </c>
      <c r="N282" s="31" t="s">
        <v>20</v>
      </c>
    </row>
    <row r="283" spans="1:14" x14ac:dyDescent="0.25">
      <c r="A283" s="30" t="s">
        <v>531</v>
      </c>
      <c r="B283" s="8">
        <v>45601</v>
      </c>
      <c r="C283" s="9" t="s">
        <v>418</v>
      </c>
      <c r="D283" s="7" t="s">
        <v>117</v>
      </c>
      <c r="E283" s="9" t="s">
        <v>88</v>
      </c>
      <c r="F283" s="7" t="s">
        <v>46</v>
      </c>
      <c r="G283" s="7">
        <v>13</v>
      </c>
      <c r="H283" s="10">
        <v>55</v>
      </c>
      <c r="I283" s="10">
        <v>30.25</v>
      </c>
      <c r="J283" s="10">
        <v>715</v>
      </c>
      <c r="K283" s="11">
        <v>10</v>
      </c>
      <c r="L283" s="10">
        <v>643.5</v>
      </c>
      <c r="M283" s="7" t="s">
        <v>19</v>
      </c>
      <c r="N283" s="32" t="s">
        <v>20</v>
      </c>
    </row>
    <row r="284" spans="1:14" x14ac:dyDescent="0.25">
      <c r="A284" s="29" t="s">
        <v>532</v>
      </c>
      <c r="B284" s="3">
        <v>45408</v>
      </c>
      <c r="C284" s="4" t="s">
        <v>506</v>
      </c>
      <c r="D284" s="2" t="s">
        <v>29</v>
      </c>
      <c r="E284" s="4" t="s">
        <v>96</v>
      </c>
      <c r="F284" s="2" t="s">
        <v>51</v>
      </c>
      <c r="G284" s="2">
        <v>6</v>
      </c>
      <c r="H284" s="5">
        <v>60</v>
      </c>
      <c r="I284" s="5">
        <v>36</v>
      </c>
      <c r="J284" s="5">
        <v>360</v>
      </c>
      <c r="K284" s="6">
        <v>10</v>
      </c>
      <c r="L284" s="5">
        <v>324</v>
      </c>
      <c r="M284" s="2" t="s">
        <v>26</v>
      </c>
      <c r="N284" s="31" t="s">
        <v>20</v>
      </c>
    </row>
    <row r="285" spans="1:14" x14ac:dyDescent="0.25">
      <c r="A285" s="30" t="s">
        <v>533</v>
      </c>
      <c r="B285" s="8">
        <v>45329</v>
      </c>
      <c r="C285" s="9" t="s">
        <v>34</v>
      </c>
      <c r="D285" s="7" t="s">
        <v>130</v>
      </c>
      <c r="E285" s="9" t="s">
        <v>198</v>
      </c>
      <c r="F285" s="7" t="s">
        <v>18</v>
      </c>
      <c r="G285" s="7">
        <v>13</v>
      </c>
      <c r="H285" s="10">
        <v>35</v>
      </c>
      <c r="I285" s="10">
        <v>18.2</v>
      </c>
      <c r="J285" s="10">
        <v>455</v>
      </c>
      <c r="K285" s="11">
        <v>0</v>
      </c>
      <c r="L285" s="10">
        <v>455</v>
      </c>
      <c r="M285" s="7" t="s">
        <v>47</v>
      </c>
      <c r="N285" s="32" t="s">
        <v>32</v>
      </c>
    </row>
    <row r="286" spans="1:14" x14ac:dyDescent="0.25">
      <c r="A286" s="29" t="s">
        <v>534</v>
      </c>
      <c r="B286" s="3">
        <v>45294</v>
      </c>
      <c r="C286" s="4" t="s">
        <v>64</v>
      </c>
      <c r="D286" s="2" t="s">
        <v>35</v>
      </c>
      <c r="E286" s="4" t="s">
        <v>96</v>
      </c>
      <c r="F286" s="2" t="s">
        <v>51</v>
      </c>
      <c r="G286" s="2">
        <v>9</v>
      </c>
      <c r="H286" s="5">
        <v>60</v>
      </c>
      <c r="I286" s="5">
        <v>36</v>
      </c>
      <c r="J286" s="5">
        <v>540</v>
      </c>
      <c r="K286" s="6">
        <v>0</v>
      </c>
      <c r="L286" s="5">
        <v>540</v>
      </c>
      <c r="M286" s="2" t="s">
        <v>19</v>
      </c>
      <c r="N286" s="31" t="s">
        <v>20</v>
      </c>
    </row>
    <row r="287" spans="1:14" x14ac:dyDescent="0.25">
      <c r="A287" s="30" t="s">
        <v>535</v>
      </c>
      <c r="B287" s="8">
        <v>45576</v>
      </c>
      <c r="C287" s="9" t="s">
        <v>252</v>
      </c>
      <c r="D287" s="7" t="s">
        <v>44</v>
      </c>
      <c r="E287" s="9" t="s">
        <v>79</v>
      </c>
      <c r="F287" s="7" t="s">
        <v>70</v>
      </c>
      <c r="G287" s="7">
        <v>1</v>
      </c>
      <c r="H287" s="10">
        <v>70</v>
      </c>
      <c r="I287" s="10">
        <v>31.5</v>
      </c>
      <c r="J287" s="10">
        <v>70</v>
      </c>
      <c r="K287" s="11">
        <v>0</v>
      </c>
      <c r="L287" s="10">
        <v>70</v>
      </c>
      <c r="M287" s="7" t="s">
        <v>19</v>
      </c>
      <c r="N287" s="32" t="s">
        <v>20</v>
      </c>
    </row>
    <row r="288" spans="1:14" x14ac:dyDescent="0.25">
      <c r="A288" s="29" t="s">
        <v>536</v>
      </c>
      <c r="B288" s="3">
        <v>45458</v>
      </c>
      <c r="C288" s="4" t="s">
        <v>375</v>
      </c>
      <c r="D288" s="2" t="s">
        <v>23</v>
      </c>
      <c r="E288" s="4" t="s">
        <v>45</v>
      </c>
      <c r="F288" s="2" t="s">
        <v>46</v>
      </c>
      <c r="G288" s="2">
        <v>10</v>
      </c>
      <c r="H288" s="5">
        <v>450</v>
      </c>
      <c r="I288" s="5">
        <v>247.5</v>
      </c>
      <c r="J288" s="5">
        <v>4500</v>
      </c>
      <c r="K288" s="6">
        <v>10</v>
      </c>
      <c r="L288" s="5">
        <v>4050</v>
      </c>
      <c r="M288" s="2" t="s">
        <v>19</v>
      </c>
      <c r="N288" s="31" t="s">
        <v>32</v>
      </c>
    </row>
    <row r="289" spans="1:14" x14ac:dyDescent="0.25">
      <c r="A289" s="30" t="s">
        <v>537</v>
      </c>
      <c r="B289" s="8">
        <v>45416</v>
      </c>
      <c r="C289" s="9" t="s">
        <v>538</v>
      </c>
      <c r="D289" s="7" t="s">
        <v>130</v>
      </c>
      <c r="E289" s="9" t="s">
        <v>76</v>
      </c>
      <c r="F289" s="7" t="s">
        <v>70</v>
      </c>
      <c r="G289" s="7">
        <v>13</v>
      </c>
      <c r="H289" s="10">
        <v>110</v>
      </c>
      <c r="I289" s="10">
        <v>49.5</v>
      </c>
      <c r="J289" s="10">
        <v>1430</v>
      </c>
      <c r="K289" s="11">
        <v>0</v>
      </c>
      <c r="L289" s="10">
        <v>1430</v>
      </c>
      <c r="M289" s="7" t="s">
        <v>47</v>
      </c>
      <c r="N289" s="32" t="s">
        <v>20</v>
      </c>
    </row>
    <row r="290" spans="1:14" x14ac:dyDescent="0.25">
      <c r="A290" s="29" t="s">
        <v>539</v>
      </c>
      <c r="B290" s="3">
        <v>45324</v>
      </c>
      <c r="C290" s="4" t="s">
        <v>540</v>
      </c>
      <c r="D290" s="2" t="s">
        <v>16</v>
      </c>
      <c r="E290" s="4" t="s">
        <v>85</v>
      </c>
      <c r="F290" s="2" t="s">
        <v>66</v>
      </c>
      <c r="G290" s="2">
        <v>14</v>
      </c>
      <c r="H290" s="5">
        <v>55</v>
      </c>
      <c r="I290" s="5">
        <v>26.4</v>
      </c>
      <c r="J290" s="5">
        <v>770</v>
      </c>
      <c r="K290" s="6">
        <v>5</v>
      </c>
      <c r="L290" s="5">
        <v>731.5</v>
      </c>
      <c r="M290" s="2" t="s">
        <v>19</v>
      </c>
      <c r="N290" s="31" t="s">
        <v>32</v>
      </c>
    </row>
    <row r="291" spans="1:14" x14ac:dyDescent="0.25">
      <c r="A291" s="30" t="s">
        <v>541</v>
      </c>
      <c r="B291" s="8">
        <v>45612</v>
      </c>
      <c r="C291" s="9" t="s">
        <v>542</v>
      </c>
      <c r="D291" s="7" t="s">
        <v>59</v>
      </c>
      <c r="E291" s="9" t="s">
        <v>107</v>
      </c>
      <c r="F291" s="7" t="s">
        <v>25</v>
      </c>
      <c r="G291" s="7">
        <v>4</v>
      </c>
      <c r="H291" s="10">
        <v>90</v>
      </c>
      <c r="I291" s="10">
        <v>45</v>
      </c>
      <c r="J291" s="10">
        <v>360</v>
      </c>
      <c r="K291" s="11">
        <v>0</v>
      </c>
      <c r="L291" s="10">
        <v>360</v>
      </c>
      <c r="M291" s="7" t="s">
        <v>26</v>
      </c>
      <c r="N291" s="32" t="s">
        <v>20</v>
      </c>
    </row>
    <row r="292" spans="1:14" x14ac:dyDescent="0.25">
      <c r="A292" s="29" t="s">
        <v>543</v>
      </c>
      <c r="B292" s="3">
        <v>45609</v>
      </c>
      <c r="C292" s="4" t="s">
        <v>430</v>
      </c>
      <c r="D292" s="2" t="s">
        <v>59</v>
      </c>
      <c r="E292" s="4" t="s">
        <v>196</v>
      </c>
      <c r="F292" s="2" t="s">
        <v>25</v>
      </c>
      <c r="G292" s="2">
        <v>11</v>
      </c>
      <c r="H292" s="5">
        <v>75</v>
      </c>
      <c r="I292" s="5">
        <v>37.5</v>
      </c>
      <c r="J292" s="5">
        <v>825</v>
      </c>
      <c r="K292" s="6">
        <v>10</v>
      </c>
      <c r="L292" s="5">
        <v>742.5</v>
      </c>
      <c r="M292" s="2" t="s">
        <v>26</v>
      </c>
      <c r="N292" s="31" t="s">
        <v>32</v>
      </c>
    </row>
    <row r="293" spans="1:14" x14ac:dyDescent="0.25">
      <c r="A293" s="30" t="s">
        <v>544</v>
      </c>
      <c r="B293" s="8">
        <v>45445</v>
      </c>
      <c r="C293" s="9" t="s">
        <v>236</v>
      </c>
      <c r="D293" s="7" t="s">
        <v>59</v>
      </c>
      <c r="E293" s="9" t="s">
        <v>50</v>
      </c>
      <c r="F293" s="7" t="s">
        <v>51</v>
      </c>
      <c r="G293" s="7">
        <v>11</v>
      </c>
      <c r="H293" s="10">
        <v>120</v>
      </c>
      <c r="I293" s="10">
        <v>72</v>
      </c>
      <c r="J293" s="10">
        <v>1320</v>
      </c>
      <c r="K293" s="11">
        <v>0</v>
      </c>
      <c r="L293" s="10">
        <v>1320</v>
      </c>
      <c r="M293" s="7" t="s">
        <v>26</v>
      </c>
      <c r="N293" s="32" t="s">
        <v>32</v>
      </c>
    </row>
    <row r="294" spans="1:14" x14ac:dyDescent="0.25">
      <c r="A294" s="29" t="s">
        <v>545</v>
      </c>
      <c r="B294" s="3">
        <v>45647</v>
      </c>
      <c r="C294" s="4" t="s">
        <v>546</v>
      </c>
      <c r="D294" s="2" t="s">
        <v>117</v>
      </c>
      <c r="E294" s="4" t="s">
        <v>36</v>
      </c>
      <c r="F294" s="2" t="s">
        <v>31</v>
      </c>
      <c r="G294" s="2">
        <v>8</v>
      </c>
      <c r="H294" s="5">
        <v>65</v>
      </c>
      <c r="I294" s="5">
        <v>30.55</v>
      </c>
      <c r="J294" s="5">
        <v>520</v>
      </c>
      <c r="K294" s="6">
        <v>10</v>
      </c>
      <c r="L294" s="5">
        <v>468</v>
      </c>
      <c r="M294" s="2" t="s">
        <v>26</v>
      </c>
      <c r="N294" s="31" t="s">
        <v>32</v>
      </c>
    </row>
    <row r="295" spans="1:14" x14ac:dyDescent="0.25">
      <c r="A295" s="30" t="s">
        <v>547</v>
      </c>
      <c r="B295" s="8">
        <v>45350</v>
      </c>
      <c r="C295" s="9" t="s">
        <v>548</v>
      </c>
      <c r="D295" s="7" t="s">
        <v>117</v>
      </c>
      <c r="E295" s="9" t="s">
        <v>69</v>
      </c>
      <c r="F295" s="7" t="s">
        <v>70</v>
      </c>
      <c r="G295" s="7">
        <v>18</v>
      </c>
      <c r="H295" s="10">
        <v>95</v>
      </c>
      <c r="I295" s="10">
        <v>42.75</v>
      </c>
      <c r="J295" s="10">
        <v>1710</v>
      </c>
      <c r="K295" s="11">
        <v>0</v>
      </c>
      <c r="L295" s="10">
        <v>1710</v>
      </c>
      <c r="M295" s="7" t="s">
        <v>47</v>
      </c>
      <c r="N295" s="32" t="s">
        <v>32</v>
      </c>
    </row>
    <row r="296" spans="1:14" x14ac:dyDescent="0.25">
      <c r="A296" s="29" t="s">
        <v>549</v>
      </c>
      <c r="B296" s="3">
        <v>45399</v>
      </c>
      <c r="C296" s="4" t="s">
        <v>550</v>
      </c>
      <c r="D296" s="2" t="s">
        <v>44</v>
      </c>
      <c r="E296" s="4" t="s">
        <v>196</v>
      </c>
      <c r="F296" s="2" t="s">
        <v>25</v>
      </c>
      <c r="G296" s="2">
        <v>14</v>
      </c>
      <c r="H296" s="5">
        <v>75</v>
      </c>
      <c r="I296" s="5">
        <v>37.5</v>
      </c>
      <c r="J296" s="5">
        <v>1050</v>
      </c>
      <c r="K296" s="6">
        <v>15</v>
      </c>
      <c r="L296" s="5">
        <v>892.5</v>
      </c>
      <c r="M296" s="2" t="s">
        <v>47</v>
      </c>
      <c r="N296" s="31" t="s">
        <v>20</v>
      </c>
    </row>
    <row r="297" spans="1:14" x14ac:dyDescent="0.25">
      <c r="A297" s="30" t="s">
        <v>551</v>
      </c>
      <c r="B297" s="8">
        <v>45370</v>
      </c>
      <c r="C297" s="9" t="s">
        <v>552</v>
      </c>
      <c r="D297" s="7" t="s">
        <v>29</v>
      </c>
      <c r="E297" s="9" t="s">
        <v>36</v>
      </c>
      <c r="F297" s="7" t="s">
        <v>31</v>
      </c>
      <c r="G297" s="7">
        <v>3</v>
      </c>
      <c r="H297" s="10">
        <v>65</v>
      </c>
      <c r="I297" s="10">
        <v>30.55</v>
      </c>
      <c r="J297" s="10">
        <v>195</v>
      </c>
      <c r="K297" s="11">
        <v>15</v>
      </c>
      <c r="L297" s="10">
        <v>165.75</v>
      </c>
      <c r="M297" s="7" t="s">
        <v>47</v>
      </c>
      <c r="N297" s="32" t="s">
        <v>32</v>
      </c>
    </row>
    <row r="298" spans="1:14" x14ac:dyDescent="0.25">
      <c r="A298" s="29" t="s">
        <v>553</v>
      </c>
      <c r="B298" s="3">
        <v>45551</v>
      </c>
      <c r="C298" s="4" t="s">
        <v>525</v>
      </c>
      <c r="D298" s="2" t="s">
        <v>29</v>
      </c>
      <c r="E298" s="4" t="s">
        <v>88</v>
      </c>
      <c r="F298" s="2" t="s">
        <v>46</v>
      </c>
      <c r="G298" s="2">
        <v>18</v>
      </c>
      <c r="H298" s="5">
        <v>55</v>
      </c>
      <c r="I298" s="5">
        <v>30.25</v>
      </c>
      <c r="J298" s="5">
        <v>990</v>
      </c>
      <c r="K298" s="6">
        <v>0</v>
      </c>
      <c r="L298" s="5">
        <v>990</v>
      </c>
      <c r="M298" s="2" t="s">
        <v>47</v>
      </c>
      <c r="N298" s="31" t="s">
        <v>32</v>
      </c>
    </row>
    <row r="299" spans="1:14" x14ac:dyDescent="0.25">
      <c r="A299" s="30" t="s">
        <v>554</v>
      </c>
      <c r="B299" s="8">
        <v>45618</v>
      </c>
      <c r="C299" s="9" t="s">
        <v>528</v>
      </c>
      <c r="D299" s="7" t="s">
        <v>75</v>
      </c>
      <c r="E299" s="9" t="s">
        <v>93</v>
      </c>
      <c r="F299" s="7" t="s">
        <v>18</v>
      </c>
      <c r="G299" s="7">
        <v>12</v>
      </c>
      <c r="H299" s="10">
        <v>85</v>
      </c>
      <c r="I299" s="10">
        <v>44.2</v>
      </c>
      <c r="J299" s="10">
        <v>1020</v>
      </c>
      <c r="K299" s="11">
        <v>0</v>
      </c>
      <c r="L299" s="10">
        <v>1020</v>
      </c>
      <c r="M299" s="7" t="s">
        <v>19</v>
      </c>
      <c r="N299" s="32" t="s">
        <v>20</v>
      </c>
    </row>
    <row r="300" spans="1:14" x14ac:dyDescent="0.25">
      <c r="A300" s="29" t="s">
        <v>555</v>
      </c>
      <c r="B300" s="3">
        <v>45461</v>
      </c>
      <c r="C300" s="4" t="s">
        <v>339</v>
      </c>
      <c r="D300" s="2" t="s">
        <v>44</v>
      </c>
      <c r="E300" s="4" t="s">
        <v>45</v>
      </c>
      <c r="F300" s="2" t="s">
        <v>46</v>
      </c>
      <c r="G300" s="2">
        <v>1</v>
      </c>
      <c r="H300" s="5">
        <v>450</v>
      </c>
      <c r="I300" s="5">
        <v>247.5</v>
      </c>
      <c r="J300" s="5">
        <v>450</v>
      </c>
      <c r="K300" s="6">
        <v>0</v>
      </c>
      <c r="L300" s="5">
        <v>450</v>
      </c>
      <c r="M300" s="2" t="s">
        <v>47</v>
      </c>
      <c r="N300" s="31" t="s">
        <v>32</v>
      </c>
    </row>
    <row r="301" spans="1:14" x14ac:dyDescent="0.25">
      <c r="A301" s="30" t="s">
        <v>556</v>
      </c>
      <c r="B301" s="8">
        <v>45589</v>
      </c>
      <c r="C301" s="9" t="s">
        <v>179</v>
      </c>
      <c r="D301" s="7" t="s">
        <v>75</v>
      </c>
      <c r="E301" s="9" t="s">
        <v>30</v>
      </c>
      <c r="F301" s="7" t="s">
        <v>31</v>
      </c>
      <c r="G301" s="7">
        <v>15</v>
      </c>
      <c r="H301" s="10">
        <v>72</v>
      </c>
      <c r="I301" s="10">
        <v>33.840000000000003</v>
      </c>
      <c r="J301" s="10">
        <v>1080</v>
      </c>
      <c r="K301" s="11">
        <v>10</v>
      </c>
      <c r="L301" s="10">
        <v>972</v>
      </c>
      <c r="M301" s="7" t="s">
        <v>26</v>
      </c>
      <c r="N301" s="32" t="s">
        <v>32</v>
      </c>
    </row>
    <row r="302" spans="1:14" x14ac:dyDescent="0.25">
      <c r="A302" s="29" t="s">
        <v>557</v>
      </c>
      <c r="B302" s="3">
        <v>45548</v>
      </c>
      <c r="C302" s="4" t="s">
        <v>558</v>
      </c>
      <c r="D302" s="2" t="s">
        <v>23</v>
      </c>
      <c r="E302" s="4" t="s">
        <v>120</v>
      </c>
      <c r="F302" s="2" t="s">
        <v>66</v>
      </c>
      <c r="G302" s="2">
        <v>16</v>
      </c>
      <c r="H302" s="5">
        <v>45</v>
      </c>
      <c r="I302" s="5">
        <v>21.6</v>
      </c>
      <c r="J302" s="5">
        <v>720</v>
      </c>
      <c r="K302" s="6">
        <v>0</v>
      </c>
      <c r="L302" s="5">
        <v>720</v>
      </c>
      <c r="M302" s="2" t="s">
        <v>26</v>
      </c>
      <c r="N302" s="31" t="s">
        <v>20</v>
      </c>
    </row>
    <row r="303" spans="1:14" x14ac:dyDescent="0.25">
      <c r="A303" s="30" t="s">
        <v>559</v>
      </c>
      <c r="B303" s="8">
        <v>45364</v>
      </c>
      <c r="C303" s="9" t="s">
        <v>169</v>
      </c>
      <c r="D303" s="7" t="s">
        <v>35</v>
      </c>
      <c r="E303" s="9" t="s">
        <v>275</v>
      </c>
      <c r="F303" s="7" t="s">
        <v>51</v>
      </c>
      <c r="G303" s="7">
        <v>15</v>
      </c>
      <c r="H303" s="10">
        <v>95</v>
      </c>
      <c r="I303" s="10">
        <v>57</v>
      </c>
      <c r="J303" s="10">
        <v>1425</v>
      </c>
      <c r="K303" s="11">
        <v>5</v>
      </c>
      <c r="L303" s="10">
        <v>1353.75</v>
      </c>
      <c r="M303" s="7" t="s">
        <v>47</v>
      </c>
      <c r="N303" s="32" t="s">
        <v>20</v>
      </c>
    </row>
    <row r="304" spans="1:14" x14ac:dyDescent="0.25">
      <c r="A304" s="29" t="s">
        <v>560</v>
      </c>
      <c r="B304" s="3">
        <v>45648</v>
      </c>
      <c r="C304" s="4" t="s">
        <v>411</v>
      </c>
      <c r="D304" s="2" t="s">
        <v>44</v>
      </c>
      <c r="E304" s="4" t="s">
        <v>196</v>
      </c>
      <c r="F304" s="2" t="s">
        <v>25</v>
      </c>
      <c r="G304" s="2">
        <v>10</v>
      </c>
      <c r="H304" s="5">
        <v>75</v>
      </c>
      <c r="I304" s="5">
        <v>37.5</v>
      </c>
      <c r="J304" s="5">
        <v>750</v>
      </c>
      <c r="K304" s="6">
        <v>0</v>
      </c>
      <c r="L304" s="5">
        <v>750</v>
      </c>
      <c r="M304" s="2" t="s">
        <v>19</v>
      </c>
      <c r="N304" s="31" t="s">
        <v>32</v>
      </c>
    </row>
    <row r="305" spans="1:14" x14ac:dyDescent="0.25">
      <c r="A305" s="30" t="s">
        <v>561</v>
      </c>
      <c r="B305" s="8">
        <v>45347</v>
      </c>
      <c r="C305" s="9" t="s">
        <v>562</v>
      </c>
      <c r="D305" s="7" t="s">
        <v>75</v>
      </c>
      <c r="E305" s="9" t="s">
        <v>164</v>
      </c>
      <c r="F305" s="7" t="s">
        <v>31</v>
      </c>
      <c r="G305" s="7">
        <v>17</v>
      </c>
      <c r="H305" s="10">
        <v>85</v>
      </c>
      <c r="I305" s="10">
        <v>39.950000000000003</v>
      </c>
      <c r="J305" s="10">
        <v>1445</v>
      </c>
      <c r="K305" s="11">
        <v>0</v>
      </c>
      <c r="L305" s="10">
        <v>1445</v>
      </c>
      <c r="M305" s="7" t="s">
        <v>47</v>
      </c>
      <c r="N305" s="32" t="s">
        <v>32</v>
      </c>
    </row>
    <row r="306" spans="1:14" x14ac:dyDescent="0.25">
      <c r="A306" s="29" t="s">
        <v>563</v>
      </c>
      <c r="B306" s="3">
        <v>45410</v>
      </c>
      <c r="C306" s="4" t="s">
        <v>564</v>
      </c>
      <c r="D306" s="2" t="s">
        <v>130</v>
      </c>
      <c r="E306" s="4" t="s">
        <v>45</v>
      </c>
      <c r="F306" s="2" t="s">
        <v>46</v>
      </c>
      <c r="G306" s="2">
        <v>6</v>
      </c>
      <c r="H306" s="5">
        <v>450</v>
      </c>
      <c r="I306" s="5">
        <v>247.5</v>
      </c>
      <c r="J306" s="5">
        <v>2700</v>
      </c>
      <c r="K306" s="6">
        <v>10</v>
      </c>
      <c r="L306" s="5">
        <v>2430</v>
      </c>
      <c r="M306" s="2" t="s">
        <v>26</v>
      </c>
      <c r="N306" s="31" t="s">
        <v>32</v>
      </c>
    </row>
    <row r="307" spans="1:14" x14ac:dyDescent="0.25">
      <c r="A307" s="30" t="s">
        <v>565</v>
      </c>
      <c r="B307" s="8">
        <v>45595</v>
      </c>
      <c r="C307" s="9" t="s">
        <v>566</v>
      </c>
      <c r="D307" s="7" t="s">
        <v>23</v>
      </c>
      <c r="E307" s="9" t="s">
        <v>60</v>
      </c>
      <c r="F307" s="7" t="s">
        <v>25</v>
      </c>
      <c r="G307" s="7">
        <v>7</v>
      </c>
      <c r="H307" s="10">
        <v>55</v>
      </c>
      <c r="I307" s="10">
        <v>27.5</v>
      </c>
      <c r="J307" s="10">
        <v>385</v>
      </c>
      <c r="K307" s="11">
        <v>5</v>
      </c>
      <c r="L307" s="10">
        <v>365.75</v>
      </c>
      <c r="M307" s="7" t="s">
        <v>26</v>
      </c>
      <c r="N307" s="32" t="s">
        <v>20</v>
      </c>
    </row>
    <row r="308" spans="1:14" x14ac:dyDescent="0.25">
      <c r="A308" s="29" t="s">
        <v>567</v>
      </c>
      <c r="B308" s="3">
        <v>45344</v>
      </c>
      <c r="C308" s="4" t="s">
        <v>416</v>
      </c>
      <c r="D308" s="2" t="s">
        <v>130</v>
      </c>
      <c r="E308" s="4" t="s">
        <v>88</v>
      </c>
      <c r="F308" s="2" t="s">
        <v>46</v>
      </c>
      <c r="G308" s="2">
        <v>12</v>
      </c>
      <c r="H308" s="5">
        <v>55</v>
      </c>
      <c r="I308" s="5">
        <v>30.25</v>
      </c>
      <c r="J308" s="5">
        <v>660</v>
      </c>
      <c r="K308" s="6">
        <v>10</v>
      </c>
      <c r="L308" s="5">
        <v>594</v>
      </c>
      <c r="M308" s="2" t="s">
        <v>19</v>
      </c>
      <c r="N308" s="31" t="s">
        <v>32</v>
      </c>
    </row>
    <row r="309" spans="1:14" x14ac:dyDescent="0.25">
      <c r="A309" s="30" t="s">
        <v>568</v>
      </c>
      <c r="B309" s="8">
        <v>45619</v>
      </c>
      <c r="C309" s="9" t="s">
        <v>430</v>
      </c>
      <c r="D309" s="7" t="s">
        <v>117</v>
      </c>
      <c r="E309" s="9" t="s">
        <v>96</v>
      </c>
      <c r="F309" s="7" t="s">
        <v>51</v>
      </c>
      <c r="G309" s="7">
        <v>13</v>
      </c>
      <c r="H309" s="10">
        <v>60</v>
      </c>
      <c r="I309" s="10">
        <v>36</v>
      </c>
      <c r="J309" s="10">
        <v>780</v>
      </c>
      <c r="K309" s="11">
        <v>0</v>
      </c>
      <c r="L309" s="10">
        <v>780</v>
      </c>
      <c r="M309" s="7" t="s">
        <v>26</v>
      </c>
      <c r="N309" s="32" t="s">
        <v>20</v>
      </c>
    </row>
    <row r="310" spans="1:14" x14ac:dyDescent="0.25">
      <c r="A310" s="29" t="s">
        <v>569</v>
      </c>
      <c r="B310" s="3">
        <v>45636</v>
      </c>
      <c r="C310" s="4" t="s">
        <v>570</v>
      </c>
      <c r="D310" s="2" t="s">
        <v>117</v>
      </c>
      <c r="E310" s="4" t="s">
        <v>36</v>
      </c>
      <c r="F310" s="2" t="s">
        <v>31</v>
      </c>
      <c r="G310" s="2">
        <v>19</v>
      </c>
      <c r="H310" s="5">
        <v>65</v>
      </c>
      <c r="I310" s="5">
        <v>30.55</v>
      </c>
      <c r="J310" s="5">
        <v>1235</v>
      </c>
      <c r="K310" s="6">
        <v>0</v>
      </c>
      <c r="L310" s="5">
        <v>1235</v>
      </c>
      <c r="M310" s="2" t="s">
        <v>47</v>
      </c>
      <c r="N310" s="31" t="s">
        <v>32</v>
      </c>
    </row>
    <row r="311" spans="1:14" x14ac:dyDescent="0.25">
      <c r="A311" s="30" t="s">
        <v>571</v>
      </c>
      <c r="B311" s="8">
        <v>45351</v>
      </c>
      <c r="C311" s="9" t="s">
        <v>313</v>
      </c>
      <c r="D311" s="7" t="s">
        <v>130</v>
      </c>
      <c r="E311" s="9" t="s">
        <v>120</v>
      </c>
      <c r="F311" s="7" t="s">
        <v>66</v>
      </c>
      <c r="G311" s="7">
        <v>17</v>
      </c>
      <c r="H311" s="10">
        <v>45</v>
      </c>
      <c r="I311" s="10">
        <v>21.6</v>
      </c>
      <c r="J311" s="10">
        <v>765</v>
      </c>
      <c r="K311" s="11">
        <v>10</v>
      </c>
      <c r="L311" s="10">
        <v>688.5</v>
      </c>
      <c r="M311" s="7" t="s">
        <v>19</v>
      </c>
      <c r="N311" s="32" t="s">
        <v>32</v>
      </c>
    </row>
    <row r="312" spans="1:14" x14ac:dyDescent="0.25">
      <c r="A312" s="29" t="s">
        <v>572</v>
      </c>
      <c r="B312" s="3">
        <v>45387</v>
      </c>
      <c r="C312" s="4" t="s">
        <v>573</v>
      </c>
      <c r="D312" s="2" t="s">
        <v>54</v>
      </c>
      <c r="E312" s="4" t="s">
        <v>107</v>
      </c>
      <c r="F312" s="2" t="s">
        <v>25</v>
      </c>
      <c r="G312" s="2">
        <v>6</v>
      </c>
      <c r="H312" s="5">
        <v>90</v>
      </c>
      <c r="I312" s="5">
        <v>45</v>
      </c>
      <c r="J312" s="5">
        <v>540</v>
      </c>
      <c r="K312" s="6">
        <v>15</v>
      </c>
      <c r="L312" s="5">
        <v>459</v>
      </c>
      <c r="M312" s="2" t="s">
        <v>19</v>
      </c>
      <c r="N312" s="31" t="s">
        <v>20</v>
      </c>
    </row>
    <row r="313" spans="1:14" x14ac:dyDescent="0.25">
      <c r="A313" s="30" t="s">
        <v>574</v>
      </c>
      <c r="B313" s="8">
        <v>45319</v>
      </c>
      <c r="C313" s="9" t="s">
        <v>575</v>
      </c>
      <c r="D313" s="7" t="s">
        <v>23</v>
      </c>
      <c r="E313" s="9" t="s">
        <v>45</v>
      </c>
      <c r="F313" s="7" t="s">
        <v>46</v>
      </c>
      <c r="G313" s="7">
        <v>16</v>
      </c>
      <c r="H313" s="10">
        <v>450</v>
      </c>
      <c r="I313" s="10">
        <v>247.5</v>
      </c>
      <c r="J313" s="10">
        <v>7200</v>
      </c>
      <c r="K313" s="11">
        <v>0</v>
      </c>
      <c r="L313" s="10">
        <v>7200</v>
      </c>
      <c r="M313" s="7" t="s">
        <v>47</v>
      </c>
      <c r="N313" s="32" t="s">
        <v>32</v>
      </c>
    </row>
    <row r="314" spans="1:14" x14ac:dyDescent="0.25">
      <c r="A314" s="29" t="s">
        <v>576</v>
      </c>
      <c r="B314" s="3">
        <v>45626</v>
      </c>
      <c r="C314" s="4" t="s">
        <v>28</v>
      </c>
      <c r="D314" s="2" t="s">
        <v>59</v>
      </c>
      <c r="E314" s="4" t="s">
        <v>60</v>
      </c>
      <c r="F314" s="2" t="s">
        <v>25</v>
      </c>
      <c r="G314" s="2">
        <v>14</v>
      </c>
      <c r="H314" s="5">
        <v>55</v>
      </c>
      <c r="I314" s="5">
        <v>27.5</v>
      </c>
      <c r="J314" s="5">
        <v>770</v>
      </c>
      <c r="K314" s="6">
        <v>15</v>
      </c>
      <c r="L314" s="5">
        <v>654.5</v>
      </c>
      <c r="M314" s="2" t="s">
        <v>19</v>
      </c>
      <c r="N314" s="31" t="s">
        <v>20</v>
      </c>
    </row>
    <row r="315" spans="1:14" x14ac:dyDescent="0.25">
      <c r="A315" s="30" t="s">
        <v>577</v>
      </c>
      <c r="B315" s="8">
        <v>45404</v>
      </c>
      <c r="C315" s="9" t="s">
        <v>179</v>
      </c>
      <c r="D315" s="7" t="s">
        <v>16</v>
      </c>
      <c r="E315" s="9" t="s">
        <v>229</v>
      </c>
      <c r="F315" s="7" t="s">
        <v>51</v>
      </c>
      <c r="G315" s="7">
        <v>8</v>
      </c>
      <c r="H315" s="10">
        <v>850</v>
      </c>
      <c r="I315" s="10">
        <v>510</v>
      </c>
      <c r="J315" s="10">
        <v>6800</v>
      </c>
      <c r="K315" s="11">
        <v>20</v>
      </c>
      <c r="L315" s="10">
        <v>5440</v>
      </c>
      <c r="M315" s="7" t="s">
        <v>26</v>
      </c>
      <c r="N315" s="32" t="s">
        <v>20</v>
      </c>
    </row>
    <row r="316" spans="1:14" x14ac:dyDescent="0.25">
      <c r="A316" s="29" t="s">
        <v>578</v>
      </c>
      <c r="B316" s="3">
        <v>45545</v>
      </c>
      <c r="C316" s="4" t="s">
        <v>289</v>
      </c>
      <c r="D316" s="2" t="s">
        <v>44</v>
      </c>
      <c r="E316" s="4" t="s">
        <v>76</v>
      </c>
      <c r="F316" s="2" t="s">
        <v>70</v>
      </c>
      <c r="G316" s="2">
        <v>19</v>
      </c>
      <c r="H316" s="5">
        <v>110</v>
      </c>
      <c r="I316" s="5">
        <v>49.5</v>
      </c>
      <c r="J316" s="5">
        <v>2090</v>
      </c>
      <c r="K316" s="6">
        <v>0</v>
      </c>
      <c r="L316" s="5">
        <v>2090</v>
      </c>
      <c r="M316" s="2" t="s">
        <v>47</v>
      </c>
      <c r="N316" s="31" t="s">
        <v>20</v>
      </c>
    </row>
    <row r="317" spans="1:14" x14ac:dyDescent="0.25">
      <c r="A317" s="30" t="s">
        <v>579</v>
      </c>
      <c r="B317" s="8">
        <v>45313</v>
      </c>
      <c r="C317" s="9" t="s">
        <v>570</v>
      </c>
      <c r="D317" s="7" t="s">
        <v>59</v>
      </c>
      <c r="E317" s="9" t="s">
        <v>88</v>
      </c>
      <c r="F317" s="7" t="s">
        <v>46</v>
      </c>
      <c r="G317" s="7">
        <v>18</v>
      </c>
      <c r="H317" s="10">
        <v>55</v>
      </c>
      <c r="I317" s="10">
        <v>30.25</v>
      </c>
      <c r="J317" s="10">
        <v>990</v>
      </c>
      <c r="K317" s="11">
        <v>5</v>
      </c>
      <c r="L317" s="10">
        <v>940.5</v>
      </c>
      <c r="M317" s="7" t="s">
        <v>19</v>
      </c>
      <c r="N317" s="32" t="s">
        <v>32</v>
      </c>
    </row>
    <row r="318" spans="1:14" x14ac:dyDescent="0.25">
      <c r="A318" s="29" t="s">
        <v>580</v>
      </c>
      <c r="B318" s="3">
        <v>45308</v>
      </c>
      <c r="C318" s="4" t="s">
        <v>523</v>
      </c>
      <c r="D318" s="2" t="s">
        <v>35</v>
      </c>
      <c r="E318" s="4" t="s">
        <v>196</v>
      </c>
      <c r="F318" s="2" t="s">
        <v>25</v>
      </c>
      <c r="G318" s="2">
        <v>3</v>
      </c>
      <c r="H318" s="5">
        <v>75</v>
      </c>
      <c r="I318" s="5">
        <v>37.5</v>
      </c>
      <c r="J318" s="5">
        <v>225</v>
      </c>
      <c r="K318" s="6">
        <v>15</v>
      </c>
      <c r="L318" s="5">
        <v>191.25</v>
      </c>
      <c r="M318" s="2" t="s">
        <v>19</v>
      </c>
      <c r="N318" s="31" t="s">
        <v>32</v>
      </c>
    </row>
    <row r="319" spans="1:14" x14ac:dyDescent="0.25">
      <c r="A319" s="30" t="s">
        <v>581</v>
      </c>
      <c r="B319" s="8">
        <v>45593</v>
      </c>
      <c r="C319" s="9" t="s">
        <v>582</v>
      </c>
      <c r="D319" s="7" t="s">
        <v>117</v>
      </c>
      <c r="E319" s="9" t="s">
        <v>36</v>
      </c>
      <c r="F319" s="7" t="s">
        <v>31</v>
      </c>
      <c r="G319" s="7">
        <v>14</v>
      </c>
      <c r="H319" s="10">
        <v>65</v>
      </c>
      <c r="I319" s="10">
        <v>30.55</v>
      </c>
      <c r="J319" s="10">
        <v>910</v>
      </c>
      <c r="K319" s="11">
        <v>0</v>
      </c>
      <c r="L319" s="10">
        <v>910</v>
      </c>
      <c r="M319" s="7" t="s">
        <v>26</v>
      </c>
      <c r="N319" s="32" t="s">
        <v>32</v>
      </c>
    </row>
    <row r="320" spans="1:14" x14ac:dyDescent="0.25">
      <c r="A320" s="29" t="s">
        <v>583</v>
      </c>
      <c r="B320" s="3">
        <v>45322</v>
      </c>
      <c r="C320" s="4" t="s">
        <v>584</v>
      </c>
      <c r="D320" s="2" t="s">
        <v>54</v>
      </c>
      <c r="E320" s="4" t="s">
        <v>79</v>
      </c>
      <c r="F320" s="2" t="s">
        <v>70</v>
      </c>
      <c r="G320" s="2">
        <v>9</v>
      </c>
      <c r="H320" s="5">
        <v>70</v>
      </c>
      <c r="I320" s="5">
        <v>31.5</v>
      </c>
      <c r="J320" s="5">
        <v>630</v>
      </c>
      <c r="K320" s="6">
        <v>20</v>
      </c>
      <c r="L320" s="5">
        <v>504</v>
      </c>
      <c r="M320" s="2" t="s">
        <v>26</v>
      </c>
      <c r="N320" s="31" t="s">
        <v>20</v>
      </c>
    </row>
    <row r="321" spans="1:14" x14ac:dyDescent="0.25">
      <c r="A321" s="30" t="s">
        <v>585</v>
      </c>
      <c r="B321" s="8">
        <v>45585</v>
      </c>
      <c r="C321" s="9" t="s">
        <v>586</v>
      </c>
      <c r="D321" s="7" t="s">
        <v>130</v>
      </c>
      <c r="E321" s="9" t="s">
        <v>229</v>
      </c>
      <c r="F321" s="7" t="s">
        <v>51</v>
      </c>
      <c r="G321" s="7">
        <v>14</v>
      </c>
      <c r="H321" s="10">
        <v>850</v>
      </c>
      <c r="I321" s="10">
        <v>510</v>
      </c>
      <c r="J321" s="10">
        <v>11900</v>
      </c>
      <c r="K321" s="11">
        <v>0</v>
      </c>
      <c r="L321" s="10">
        <v>11900</v>
      </c>
      <c r="M321" s="7" t="s">
        <v>26</v>
      </c>
      <c r="N321" s="32" t="s">
        <v>32</v>
      </c>
    </row>
    <row r="322" spans="1:14" x14ac:dyDescent="0.25">
      <c r="A322" s="29" t="s">
        <v>587</v>
      </c>
      <c r="B322" s="3">
        <v>45359</v>
      </c>
      <c r="C322" s="4" t="s">
        <v>550</v>
      </c>
      <c r="D322" s="2" t="s">
        <v>35</v>
      </c>
      <c r="E322" s="4" t="s">
        <v>65</v>
      </c>
      <c r="F322" s="2" t="s">
        <v>66</v>
      </c>
      <c r="G322" s="2">
        <v>8</v>
      </c>
      <c r="H322" s="5">
        <v>65</v>
      </c>
      <c r="I322" s="5">
        <v>31.2</v>
      </c>
      <c r="J322" s="5">
        <v>520</v>
      </c>
      <c r="K322" s="6">
        <v>10</v>
      </c>
      <c r="L322" s="5">
        <v>468</v>
      </c>
      <c r="M322" s="2" t="s">
        <v>47</v>
      </c>
      <c r="N322" s="31" t="s">
        <v>32</v>
      </c>
    </row>
    <row r="323" spans="1:14" x14ac:dyDescent="0.25">
      <c r="A323" s="30" t="s">
        <v>588</v>
      </c>
      <c r="B323" s="8">
        <v>45504</v>
      </c>
      <c r="C323" s="9" t="s">
        <v>589</v>
      </c>
      <c r="D323" s="7" t="s">
        <v>44</v>
      </c>
      <c r="E323" s="9" t="s">
        <v>60</v>
      </c>
      <c r="F323" s="7" t="s">
        <v>25</v>
      </c>
      <c r="G323" s="7">
        <v>3</v>
      </c>
      <c r="H323" s="10">
        <v>55</v>
      </c>
      <c r="I323" s="10">
        <v>27.5</v>
      </c>
      <c r="J323" s="10">
        <v>165</v>
      </c>
      <c r="K323" s="11">
        <v>10</v>
      </c>
      <c r="L323" s="10">
        <v>148.5</v>
      </c>
      <c r="M323" s="7" t="s">
        <v>19</v>
      </c>
      <c r="N323" s="32" t="s">
        <v>20</v>
      </c>
    </row>
    <row r="324" spans="1:14" x14ac:dyDescent="0.25">
      <c r="A324" s="29" t="s">
        <v>590</v>
      </c>
      <c r="B324" s="3">
        <v>45541</v>
      </c>
      <c r="C324" s="4" t="s">
        <v>591</v>
      </c>
      <c r="D324" s="2" t="s">
        <v>44</v>
      </c>
      <c r="E324" s="4" t="s">
        <v>229</v>
      </c>
      <c r="F324" s="2" t="s">
        <v>51</v>
      </c>
      <c r="G324" s="2">
        <v>15</v>
      </c>
      <c r="H324" s="5">
        <v>850</v>
      </c>
      <c r="I324" s="5">
        <v>510</v>
      </c>
      <c r="J324" s="5">
        <v>12750</v>
      </c>
      <c r="K324" s="6">
        <v>10</v>
      </c>
      <c r="L324" s="5">
        <v>11475</v>
      </c>
      <c r="M324" s="2" t="s">
        <v>26</v>
      </c>
      <c r="N324" s="31" t="s">
        <v>20</v>
      </c>
    </row>
    <row r="325" spans="1:14" x14ac:dyDescent="0.25">
      <c r="A325" s="30" t="s">
        <v>592</v>
      </c>
      <c r="B325" s="8">
        <v>45511</v>
      </c>
      <c r="C325" s="9" t="s">
        <v>593</v>
      </c>
      <c r="D325" s="7" t="s">
        <v>59</v>
      </c>
      <c r="E325" s="9" t="s">
        <v>234</v>
      </c>
      <c r="F325" s="7" t="s">
        <v>46</v>
      </c>
      <c r="G325" s="7">
        <v>9</v>
      </c>
      <c r="H325" s="10">
        <v>30</v>
      </c>
      <c r="I325" s="10">
        <v>16.5</v>
      </c>
      <c r="J325" s="10">
        <v>270</v>
      </c>
      <c r="K325" s="11">
        <v>10</v>
      </c>
      <c r="L325" s="10">
        <v>243</v>
      </c>
      <c r="M325" s="7" t="s">
        <v>47</v>
      </c>
      <c r="N325" s="32" t="s">
        <v>32</v>
      </c>
    </row>
    <row r="326" spans="1:14" x14ac:dyDescent="0.25">
      <c r="A326" s="29" t="s">
        <v>594</v>
      </c>
      <c r="B326" s="3">
        <v>45581</v>
      </c>
      <c r="C326" s="4" t="s">
        <v>352</v>
      </c>
      <c r="D326" s="2" t="s">
        <v>35</v>
      </c>
      <c r="E326" s="4" t="s">
        <v>45</v>
      </c>
      <c r="F326" s="2" t="s">
        <v>46</v>
      </c>
      <c r="G326" s="2">
        <v>2</v>
      </c>
      <c r="H326" s="5">
        <v>450</v>
      </c>
      <c r="I326" s="5">
        <v>247.5</v>
      </c>
      <c r="J326" s="5">
        <v>900</v>
      </c>
      <c r="K326" s="6">
        <v>0</v>
      </c>
      <c r="L326" s="5">
        <v>900</v>
      </c>
      <c r="M326" s="2" t="s">
        <v>26</v>
      </c>
      <c r="N326" s="31" t="s">
        <v>20</v>
      </c>
    </row>
    <row r="327" spans="1:14" x14ac:dyDescent="0.25">
      <c r="A327" s="30" t="s">
        <v>595</v>
      </c>
      <c r="B327" s="8">
        <v>45355</v>
      </c>
      <c r="C327" s="9" t="s">
        <v>238</v>
      </c>
      <c r="D327" s="7" t="s">
        <v>59</v>
      </c>
      <c r="E327" s="9" t="s">
        <v>234</v>
      </c>
      <c r="F327" s="7" t="s">
        <v>46</v>
      </c>
      <c r="G327" s="7">
        <v>15</v>
      </c>
      <c r="H327" s="10">
        <v>30</v>
      </c>
      <c r="I327" s="10">
        <v>16.5</v>
      </c>
      <c r="J327" s="10">
        <v>450</v>
      </c>
      <c r="K327" s="11">
        <v>0</v>
      </c>
      <c r="L327" s="10">
        <v>450</v>
      </c>
      <c r="M327" s="7" t="s">
        <v>47</v>
      </c>
      <c r="N327" s="32" t="s">
        <v>32</v>
      </c>
    </row>
    <row r="328" spans="1:14" x14ac:dyDescent="0.25">
      <c r="A328" s="29" t="s">
        <v>596</v>
      </c>
      <c r="B328" s="3">
        <v>45624</v>
      </c>
      <c r="C328" s="4" t="s">
        <v>111</v>
      </c>
      <c r="D328" s="2" t="s">
        <v>16</v>
      </c>
      <c r="E328" s="4" t="s">
        <v>50</v>
      </c>
      <c r="F328" s="2" t="s">
        <v>51</v>
      </c>
      <c r="G328" s="2">
        <v>3</v>
      </c>
      <c r="H328" s="5">
        <v>120</v>
      </c>
      <c r="I328" s="5">
        <v>72</v>
      </c>
      <c r="J328" s="5">
        <v>360</v>
      </c>
      <c r="K328" s="6">
        <v>10</v>
      </c>
      <c r="L328" s="5">
        <v>324</v>
      </c>
      <c r="M328" s="2" t="s">
        <v>47</v>
      </c>
      <c r="N328" s="31" t="s">
        <v>20</v>
      </c>
    </row>
    <row r="329" spans="1:14" x14ac:dyDescent="0.25">
      <c r="A329" s="30" t="s">
        <v>597</v>
      </c>
      <c r="B329" s="8">
        <v>45494</v>
      </c>
      <c r="C329" s="9" t="s">
        <v>203</v>
      </c>
      <c r="D329" s="7" t="s">
        <v>75</v>
      </c>
      <c r="E329" s="9" t="s">
        <v>36</v>
      </c>
      <c r="F329" s="7" t="s">
        <v>31</v>
      </c>
      <c r="G329" s="7">
        <v>14</v>
      </c>
      <c r="H329" s="10">
        <v>65</v>
      </c>
      <c r="I329" s="10">
        <v>30.55</v>
      </c>
      <c r="J329" s="10">
        <v>910</v>
      </c>
      <c r="K329" s="11">
        <v>0</v>
      </c>
      <c r="L329" s="10">
        <v>910</v>
      </c>
      <c r="M329" s="7" t="s">
        <v>19</v>
      </c>
      <c r="N329" s="32" t="s">
        <v>32</v>
      </c>
    </row>
    <row r="330" spans="1:14" x14ac:dyDescent="0.25">
      <c r="A330" s="29" t="s">
        <v>598</v>
      </c>
      <c r="B330" s="3">
        <v>45359</v>
      </c>
      <c r="C330" s="4" t="s">
        <v>266</v>
      </c>
      <c r="D330" s="2" t="s">
        <v>54</v>
      </c>
      <c r="E330" s="4" t="s">
        <v>69</v>
      </c>
      <c r="F330" s="2" t="s">
        <v>70</v>
      </c>
      <c r="G330" s="2">
        <v>15</v>
      </c>
      <c r="H330" s="5">
        <v>95</v>
      </c>
      <c r="I330" s="5">
        <v>42.75</v>
      </c>
      <c r="J330" s="5">
        <v>1425</v>
      </c>
      <c r="K330" s="6">
        <v>0</v>
      </c>
      <c r="L330" s="5">
        <v>1425</v>
      </c>
      <c r="M330" s="2" t="s">
        <v>47</v>
      </c>
      <c r="N330" s="31" t="s">
        <v>20</v>
      </c>
    </row>
    <row r="331" spans="1:14" x14ac:dyDescent="0.25">
      <c r="A331" s="30" t="s">
        <v>599</v>
      </c>
      <c r="B331" s="8">
        <v>45508</v>
      </c>
      <c r="C331" s="9" t="s">
        <v>34</v>
      </c>
      <c r="D331" s="7" t="s">
        <v>59</v>
      </c>
      <c r="E331" s="9" t="s">
        <v>164</v>
      </c>
      <c r="F331" s="7" t="s">
        <v>31</v>
      </c>
      <c r="G331" s="7">
        <v>3</v>
      </c>
      <c r="H331" s="10">
        <v>85</v>
      </c>
      <c r="I331" s="10">
        <v>39.950000000000003</v>
      </c>
      <c r="J331" s="10">
        <v>255</v>
      </c>
      <c r="K331" s="11">
        <v>5</v>
      </c>
      <c r="L331" s="10">
        <v>242.25</v>
      </c>
      <c r="M331" s="7" t="s">
        <v>26</v>
      </c>
      <c r="N331" s="32" t="s">
        <v>32</v>
      </c>
    </row>
    <row r="332" spans="1:14" x14ac:dyDescent="0.25">
      <c r="A332" s="29" t="s">
        <v>600</v>
      </c>
      <c r="B332" s="3">
        <v>45452</v>
      </c>
      <c r="C332" s="4" t="s">
        <v>92</v>
      </c>
      <c r="D332" s="2" t="s">
        <v>130</v>
      </c>
      <c r="E332" s="4" t="s">
        <v>275</v>
      </c>
      <c r="F332" s="2" t="s">
        <v>51</v>
      </c>
      <c r="G332" s="2">
        <v>13</v>
      </c>
      <c r="H332" s="5">
        <v>95</v>
      </c>
      <c r="I332" s="5">
        <v>57</v>
      </c>
      <c r="J332" s="5">
        <v>1235</v>
      </c>
      <c r="K332" s="6">
        <v>0</v>
      </c>
      <c r="L332" s="5">
        <v>1235</v>
      </c>
      <c r="M332" s="2" t="s">
        <v>26</v>
      </c>
      <c r="N332" s="31" t="s">
        <v>20</v>
      </c>
    </row>
    <row r="333" spans="1:14" x14ac:dyDescent="0.25">
      <c r="A333" s="30" t="s">
        <v>601</v>
      </c>
      <c r="B333" s="8">
        <v>45580</v>
      </c>
      <c r="C333" s="9" t="s">
        <v>238</v>
      </c>
      <c r="D333" s="7" t="s">
        <v>130</v>
      </c>
      <c r="E333" s="9" t="s">
        <v>151</v>
      </c>
      <c r="F333" s="7" t="s">
        <v>18</v>
      </c>
      <c r="G333" s="7">
        <v>15</v>
      </c>
      <c r="H333" s="10">
        <v>95</v>
      </c>
      <c r="I333" s="10">
        <v>49.4</v>
      </c>
      <c r="J333" s="10">
        <v>1425</v>
      </c>
      <c r="K333" s="11">
        <v>10</v>
      </c>
      <c r="L333" s="10">
        <v>1282.5</v>
      </c>
      <c r="M333" s="7" t="s">
        <v>26</v>
      </c>
      <c r="N333" s="32" t="s">
        <v>32</v>
      </c>
    </row>
    <row r="334" spans="1:14" x14ac:dyDescent="0.25">
      <c r="A334" s="29" t="s">
        <v>602</v>
      </c>
      <c r="B334" s="3">
        <v>45502</v>
      </c>
      <c r="C334" s="4" t="s">
        <v>193</v>
      </c>
      <c r="D334" s="2" t="s">
        <v>59</v>
      </c>
      <c r="E334" s="4" t="s">
        <v>76</v>
      </c>
      <c r="F334" s="2" t="s">
        <v>70</v>
      </c>
      <c r="G334" s="2">
        <v>7</v>
      </c>
      <c r="H334" s="5">
        <v>110</v>
      </c>
      <c r="I334" s="5">
        <v>49.5</v>
      </c>
      <c r="J334" s="5">
        <v>770</v>
      </c>
      <c r="K334" s="6">
        <v>0</v>
      </c>
      <c r="L334" s="5">
        <v>770</v>
      </c>
      <c r="M334" s="2" t="s">
        <v>19</v>
      </c>
      <c r="N334" s="31" t="s">
        <v>32</v>
      </c>
    </row>
    <row r="335" spans="1:14" x14ac:dyDescent="0.25">
      <c r="A335" s="30" t="s">
        <v>603</v>
      </c>
      <c r="B335" s="8">
        <v>45488</v>
      </c>
      <c r="C335" s="9" t="s">
        <v>525</v>
      </c>
      <c r="D335" s="7" t="s">
        <v>35</v>
      </c>
      <c r="E335" s="9" t="s">
        <v>96</v>
      </c>
      <c r="F335" s="7" t="s">
        <v>51</v>
      </c>
      <c r="G335" s="7">
        <v>5</v>
      </c>
      <c r="H335" s="10">
        <v>60</v>
      </c>
      <c r="I335" s="10">
        <v>36</v>
      </c>
      <c r="J335" s="10">
        <v>300</v>
      </c>
      <c r="K335" s="11">
        <v>5</v>
      </c>
      <c r="L335" s="10">
        <v>285</v>
      </c>
      <c r="M335" s="7" t="s">
        <v>19</v>
      </c>
      <c r="N335" s="32" t="s">
        <v>20</v>
      </c>
    </row>
    <row r="336" spans="1:14" x14ac:dyDescent="0.25">
      <c r="A336" s="29" t="s">
        <v>604</v>
      </c>
      <c r="B336" s="3">
        <v>45599</v>
      </c>
      <c r="C336" s="4" t="s">
        <v>605</v>
      </c>
      <c r="D336" s="2" t="s">
        <v>16</v>
      </c>
      <c r="E336" s="4" t="s">
        <v>30</v>
      </c>
      <c r="F336" s="2" t="s">
        <v>31</v>
      </c>
      <c r="G336" s="2">
        <v>1</v>
      </c>
      <c r="H336" s="5">
        <v>72</v>
      </c>
      <c r="I336" s="5">
        <v>33.840000000000003</v>
      </c>
      <c r="J336" s="5">
        <v>72</v>
      </c>
      <c r="K336" s="6">
        <v>5</v>
      </c>
      <c r="L336" s="5">
        <v>68.400000000000006</v>
      </c>
      <c r="M336" s="2" t="s">
        <v>26</v>
      </c>
      <c r="N336" s="31" t="s">
        <v>20</v>
      </c>
    </row>
    <row r="337" spans="1:14" x14ac:dyDescent="0.25">
      <c r="A337" s="30" t="s">
        <v>606</v>
      </c>
      <c r="B337" s="8">
        <v>45492</v>
      </c>
      <c r="C337" s="9" t="s">
        <v>607</v>
      </c>
      <c r="D337" s="7" t="s">
        <v>75</v>
      </c>
      <c r="E337" s="9" t="s">
        <v>229</v>
      </c>
      <c r="F337" s="7" t="s">
        <v>51</v>
      </c>
      <c r="G337" s="7">
        <v>16</v>
      </c>
      <c r="H337" s="10">
        <v>850</v>
      </c>
      <c r="I337" s="10">
        <v>510</v>
      </c>
      <c r="J337" s="10">
        <v>13600</v>
      </c>
      <c r="K337" s="11">
        <v>10</v>
      </c>
      <c r="L337" s="10">
        <v>12240</v>
      </c>
      <c r="M337" s="7" t="s">
        <v>47</v>
      </c>
      <c r="N337" s="32" t="s">
        <v>20</v>
      </c>
    </row>
    <row r="338" spans="1:14" x14ac:dyDescent="0.25">
      <c r="A338" s="29" t="s">
        <v>608</v>
      </c>
      <c r="B338" s="3">
        <v>45562</v>
      </c>
      <c r="C338" s="4" t="s">
        <v>289</v>
      </c>
      <c r="D338" s="2" t="s">
        <v>35</v>
      </c>
      <c r="E338" s="4" t="s">
        <v>38</v>
      </c>
      <c r="F338" s="2" t="s">
        <v>18</v>
      </c>
      <c r="G338" s="2">
        <v>5</v>
      </c>
      <c r="H338" s="5">
        <v>30</v>
      </c>
      <c r="I338" s="5">
        <v>15.6</v>
      </c>
      <c r="J338" s="5">
        <v>150</v>
      </c>
      <c r="K338" s="6">
        <v>10</v>
      </c>
      <c r="L338" s="5">
        <v>135</v>
      </c>
      <c r="M338" s="2" t="s">
        <v>47</v>
      </c>
      <c r="N338" s="31" t="s">
        <v>32</v>
      </c>
    </row>
    <row r="339" spans="1:14" x14ac:dyDescent="0.25">
      <c r="A339" s="30" t="s">
        <v>609</v>
      </c>
      <c r="B339" s="8">
        <v>45641</v>
      </c>
      <c r="C339" s="9" t="s">
        <v>191</v>
      </c>
      <c r="D339" s="7" t="s">
        <v>44</v>
      </c>
      <c r="E339" s="9" t="s">
        <v>85</v>
      </c>
      <c r="F339" s="7" t="s">
        <v>66</v>
      </c>
      <c r="G339" s="7">
        <v>1</v>
      </c>
      <c r="H339" s="10">
        <v>55</v>
      </c>
      <c r="I339" s="10">
        <v>26.4</v>
      </c>
      <c r="J339" s="10">
        <v>55</v>
      </c>
      <c r="K339" s="11">
        <v>0</v>
      </c>
      <c r="L339" s="10">
        <v>55</v>
      </c>
      <c r="M339" s="7" t="s">
        <v>19</v>
      </c>
      <c r="N339" s="32" t="s">
        <v>20</v>
      </c>
    </row>
    <row r="340" spans="1:14" x14ac:dyDescent="0.25">
      <c r="A340" s="29" t="s">
        <v>610</v>
      </c>
      <c r="B340" s="3">
        <v>45495</v>
      </c>
      <c r="C340" s="4" t="s">
        <v>575</v>
      </c>
      <c r="D340" s="2" t="s">
        <v>54</v>
      </c>
      <c r="E340" s="4" t="s">
        <v>79</v>
      </c>
      <c r="F340" s="2" t="s">
        <v>70</v>
      </c>
      <c r="G340" s="2">
        <v>14</v>
      </c>
      <c r="H340" s="5">
        <v>70</v>
      </c>
      <c r="I340" s="5">
        <v>31.5</v>
      </c>
      <c r="J340" s="5">
        <v>980</v>
      </c>
      <c r="K340" s="6">
        <v>10</v>
      </c>
      <c r="L340" s="5">
        <v>882</v>
      </c>
      <c r="M340" s="2" t="s">
        <v>19</v>
      </c>
      <c r="N340" s="31" t="s">
        <v>32</v>
      </c>
    </row>
    <row r="341" spans="1:14" x14ac:dyDescent="0.25">
      <c r="A341" s="30" t="s">
        <v>611</v>
      </c>
      <c r="B341" s="8">
        <v>45607</v>
      </c>
      <c r="C341" s="9" t="s">
        <v>135</v>
      </c>
      <c r="D341" s="7" t="s">
        <v>44</v>
      </c>
      <c r="E341" s="9" t="s">
        <v>120</v>
      </c>
      <c r="F341" s="7" t="s">
        <v>66</v>
      </c>
      <c r="G341" s="7">
        <v>10</v>
      </c>
      <c r="H341" s="10">
        <v>45</v>
      </c>
      <c r="I341" s="10">
        <v>21.6</v>
      </c>
      <c r="J341" s="10">
        <v>450</v>
      </c>
      <c r="K341" s="11">
        <v>0</v>
      </c>
      <c r="L341" s="10">
        <v>450</v>
      </c>
      <c r="M341" s="7" t="s">
        <v>19</v>
      </c>
      <c r="N341" s="32" t="s">
        <v>32</v>
      </c>
    </row>
    <row r="342" spans="1:14" x14ac:dyDescent="0.25">
      <c r="A342" s="29" t="s">
        <v>612</v>
      </c>
      <c r="B342" s="3">
        <v>45459</v>
      </c>
      <c r="C342" s="4" t="s">
        <v>383</v>
      </c>
      <c r="D342" s="2" t="s">
        <v>16</v>
      </c>
      <c r="E342" s="4" t="s">
        <v>24</v>
      </c>
      <c r="F342" s="2" t="s">
        <v>25</v>
      </c>
      <c r="G342" s="2">
        <v>14</v>
      </c>
      <c r="H342" s="5">
        <v>40</v>
      </c>
      <c r="I342" s="5">
        <v>20</v>
      </c>
      <c r="J342" s="5">
        <v>560</v>
      </c>
      <c r="K342" s="6">
        <v>5</v>
      </c>
      <c r="L342" s="5">
        <v>532</v>
      </c>
      <c r="M342" s="2" t="s">
        <v>19</v>
      </c>
      <c r="N342" s="31" t="s">
        <v>20</v>
      </c>
    </row>
    <row r="343" spans="1:14" x14ac:dyDescent="0.25">
      <c r="A343" s="30" t="s">
        <v>613</v>
      </c>
      <c r="B343" s="8">
        <v>45524</v>
      </c>
      <c r="C343" s="9" t="s">
        <v>307</v>
      </c>
      <c r="D343" s="7" t="s">
        <v>23</v>
      </c>
      <c r="E343" s="9" t="s">
        <v>76</v>
      </c>
      <c r="F343" s="7" t="s">
        <v>70</v>
      </c>
      <c r="G343" s="7">
        <v>10</v>
      </c>
      <c r="H343" s="10">
        <v>110</v>
      </c>
      <c r="I343" s="10">
        <v>49.5</v>
      </c>
      <c r="J343" s="10">
        <v>1100</v>
      </c>
      <c r="K343" s="11">
        <v>0</v>
      </c>
      <c r="L343" s="10">
        <v>1100</v>
      </c>
      <c r="M343" s="7" t="s">
        <v>26</v>
      </c>
      <c r="N343" s="32" t="s">
        <v>20</v>
      </c>
    </row>
    <row r="344" spans="1:14" x14ac:dyDescent="0.25">
      <c r="A344" s="29" t="s">
        <v>614</v>
      </c>
      <c r="B344" s="3">
        <v>45546</v>
      </c>
      <c r="C344" s="4" t="s">
        <v>389</v>
      </c>
      <c r="D344" s="2" t="s">
        <v>130</v>
      </c>
      <c r="E344" s="4" t="s">
        <v>275</v>
      </c>
      <c r="F344" s="2" t="s">
        <v>51</v>
      </c>
      <c r="G344" s="2">
        <v>12</v>
      </c>
      <c r="H344" s="5">
        <v>95</v>
      </c>
      <c r="I344" s="5">
        <v>57</v>
      </c>
      <c r="J344" s="5">
        <v>1140</v>
      </c>
      <c r="K344" s="6">
        <v>0</v>
      </c>
      <c r="L344" s="5">
        <v>1140</v>
      </c>
      <c r="M344" s="2" t="s">
        <v>26</v>
      </c>
      <c r="N344" s="31" t="s">
        <v>20</v>
      </c>
    </row>
    <row r="345" spans="1:14" x14ac:dyDescent="0.25">
      <c r="A345" s="30" t="s">
        <v>615</v>
      </c>
      <c r="B345" s="8">
        <v>45307</v>
      </c>
      <c r="C345" s="9" t="s">
        <v>102</v>
      </c>
      <c r="D345" s="7" t="s">
        <v>16</v>
      </c>
      <c r="E345" s="9" t="s">
        <v>96</v>
      </c>
      <c r="F345" s="7" t="s">
        <v>51</v>
      </c>
      <c r="G345" s="7">
        <v>17</v>
      </c>
      <c r="H345" s="10">
        <v>60</v>
      </c>
      <c r="I345" s="10">
        <v>36</v>
      </c>
      <c r="J345" s="10">
        <v>1020</v>
      </c>
      <c r="K345" s="11">
        <v>0</v>
      </c>
      <c r="L345" s="10">
        <v>1020</v>
      </c>
      <c r="M345" s="7" t="s">
        <v>26</v>
      </c>
      <c r="N345" s="32" t="s">
        <v>20</v>
      </c>
    </row>
    <row r="346" spans="1:14" x14ac:dyDescent="0.25">
      <c r="A346" s="29" t="s">
        <v>616</v>
      </c>
      <c r="B346" s="3">
        <v>45525</v>
      </c>
      <c r="C346" s="4" t="s">
        <v>113</v>
      </c>
      <c r="D346" s="2" t="s">
        <v>23</v>
      </c>
      <c r="E346" s="4" t="s">
        <v>79</v>
      </c>
      <c r="F346" s="2" t="s">
        <v>70</v>
      </c>
      <c r="G346" s="2">
        <v>16</v>
      </c>
      <c r="H346" s="5">
        <v>70</v>
      </c>
      <c r="I346" s="5">
        <v>31.5</v>
      </c>
      <c r="J346" s="5">
        <v>1120</v>
      </c>
      <c r="K346" s="6">
        <v>0</v>
      </c>
      <c r="L346" s="5">
        <v>1120</v>
      </c>
      <c r="M346" s="2" t="s">
        <v>19</v>
      </c>
      <c r="N346" s="31" t="s">
        <v>20</v>
      </c>
    </row>
    <row r="347" spans="1:14" x14ac:dyDescent="0.25">
      <c r="A347" s="30" t="s">
        <v>617</v>
      </c>
      <c r="B347" s="8">
        <v>45585</v>
      </c>
      <c r="C347" s="9" t="s">
        <v>618</v>
      </c>
      <c r="D347" s="7" t="s">
        <v>44</v>
      </c>
      <c r="E347" s="9" t="s">
        <v>30</v>
      </c>
      <c r="F347" s="7" t="s">
        <v>31</v>
      </c>
      <c r="G347" s="7">
        <v>8</v>
      </c>
      <c r="H347" s="10">
        <v>72</v>
      </c>
      <c r="I347" s="10">
        <v>33.840000000000003</v>
      </c>
      <c r="J347" s="10">
        <v>576</v>
      </c>
      <c r="K347" s="11">
        <v>20</v>
      </c>
      <c r="L347" s="10">
        <v>460.8</v>
      </c>
      <c r="M347" s="7" t="s">
        <v>26</v>
      </c>
      <c r="N347" s="32" t="s">
        <v>20</v>
      </c>
    </row>
    <row r="348" spans="1:14" x14ac:dyDescent="0.25">
      <c r="A348" s="29" t="s">
        <v>619</v>
      </c>
      <c r="B348" s="3">
        <v>45315</v>
      </c>
      <c r="C348" s="4" t="s">
        <v>81</v>
      </c>
      <c r="D348" s="2" t="s">
        <v>29</v>
      </c>
      <c r="E348" s="4" t="s">
        <v>196</v>
      </c>
      <c r="F348" s="2" t="s">
        <v>25</v>
      </c>
      <c r="G348" s="2">
        <v>5</v>
      </c>
      <c r="H348" s="5">
        <v>75</v>
      </c>
      <c r="I348" s="5">
        <v>37.5</v>
      </c>
      <c r="J348" s="5">
        <v>375</v>
      </c>
      <c r="K348" s="6">
        <v>0</v>
      </c>
      <c r="L348" s="5">
        <v>375</v>
      </c>
      <c r="M348" s="2" t="s">
        <v>26</v>
      </c>
      <c r="N348" s="31" t="s">
        <v>32</v>
      </c>
    </row>
    <row r="349" spans="1:14" x14ac:dyDescent="0.25">
      <c r="A349" s="30" t="s">
        <v>620</v>
      </c>
      <c r="B349" s="8">
        <v>45627</v>
      </c>
      <c r="C349" s="9" t="s">
        <v>566</v>
      </c>
      <c r="D349" s="7" t="s">
        <v>35</v>
      </c>
      <c r="E349" s="9" t="s">
        <v>107</v>
      </c>
      <c r="F349" s="7" t="s">
        <v>25</v>
      </c>
      <c r="G349" s="7">
        <v>8</v>
      </c>
      <c r="H349" s="10">
        <v>90</v>
      </c>
      <c r="I349" s="10">
        <v>45</v>
      </c>
      <c r="J349" s="10">
        <v>720</v>
      </c>
      <c r="K349" s="11">
        <v>10</v>
      </c>
      <c r="L349" s="10">
        <v>648</v>
      </c>
      <c r="M349" s="7" t="s">
        <v>47</v>
      </c>
      <c r="N349" s="32" t="s">
        <v>32</v>
      </c>
    </row>
    <row r="350" spans="1:14" x14ac:dyDescent="0.25">
      <c r="A350" s="29" t="s">
        <v>621</v>
      </c>
      <c r="B350" s="3">
        <v>45482</v>
      </c>
      <c r="C350" s="4" t="s">
        <v>519</v>
      </c>
      <c r="D350" s="2" t="s">
        <v>23</v>
      </c>
      <c r="E350" s="4" t="s">
        <v>41</v>
      </c>
      <c r="F350" s="2" t="s">
        <v>18</v>
      </c>
      <c r="G350" s="2">
        <v>6</v>
      </c>
      <c r="H350" s="5">
        <v>150</v>
      </c>
      <c r="I350" s="5">
        <v>78</v>
      </c>
      <c r="J350" s="5">
        <v>900</v>
      </c>
      <c r="K350" s="6">
        <v>5</v>
      </c>
      <c r="L350" s="5">
        <v>855</v>
      </c>
      <c r="M350" s="2" t="s">
        <v>26</v>
      </c>
      <c r="N350" s="31" t="s">
        <v>32</v>
      </c>
    </row>
    <row r="351" spans="1:14" x14ac:dyDescent="0.25">
      <c r="A351" s="30" t="s">
        <v>622</v>
      </c>
      <c r="B351" s="8">
        <v>45530</v>
      </c>
      <c r="C351" s="9" t="s">
        <v>623</v>
      </c>
      <c r="D351" s="7" t="s">
        <v>16</v>
      </c>
      <c r="E351" s="9" t="s">
        <v>45</v>
      </c>
      <c r="F351" s="7" t="s">
        <v>46</v>
      </c>
      <c r="G351" s="7">
        <v>11</v>
      </c>
      <c r="H351" s="10">
        <v>450</v>
      </c>
      <c r="I351" s="10">
        <v>247.5</v>
      </c>
      <c r="J351" s="10">
        <v>4950</v>
      </c>
      <c r="K351" s="11">
        <v>0</v>
      </c>
      <c r="L351" s="10">
        <v>4950</v>
      </c>
      <c r="M351" s="7" t="s">
        <v>19</v>
      </c>
      <c r="N351" s="32" t="s">
        <v>32</v>
      </c>
    </row>
    <row r="352" spans="1:14" x14ac:dyDescent="0.25">
      <c r="A352" s="29" t="s">
        <v>624</v>
      </c>
      <c r="B352" s="3">
        <v>45580</v>
      </c>
      <c r="C352" s="4" t="s">
        <v>605</v>
      </c>
      <c r="D352" s="2" t="s">
        <v>117</v>
      </c>
      <c r="E352" s="4" t="s">
        <v>45</v>
      </c>
      <c r="F352" s="2" t="s">
        <v>46</v>
      </c>
      <c r="G352" s="2">
        <v>8</v>
      </c>
      <c r="H352" s="5">
        <v>450</v>
      </c>
      <c r="I352" s="5">
        <v>247.5</v>
      </c>
      <c r="J352" s="5">
        <v>3600</v>
      </c>
      <c r="K352" s="6">
        <v>15</v>
      </c>
      <c r="L352" s="5">
        <v>3060</v>
      </c>
      <c r="M352" s="2" t="s">
        <v>26</v>
      </c>
      <c r="N352" s="31" t="s">
        <v>32</v>
      </c>
    </row>
    <row r="353" spans="1:14" x14ac:dyDescent="0.25">
      <c r="A353" s="30" t="s">
        <v>625</v>
      </c>
      <c r="B353" s="8">
        <v>45571</v>
      </c>
      <c r="C353" s="9" t="s">
        <v>626</v>
      </c>
      <c r="D353" s="7" t="s">
        <v>130</v>
      </c>
      <c r="E353" s="9" t="s">
        <v>234</v>
      </c>
      <c r="F353" s="7" t="s">
        <v>46</v>
      </c>
      <c r="G353" s="7">
        <v>1</v>
      </c>
      <c r="H353" s="10">
        <v>30</v>
      </c>
      <c r="I353" s="10">
        <v>16.5</v>
      </c>
      <c r="J353" s="10">
        <v>30</v>
      </c>
      <c r="K353" s="11">
        <v>10</v>
      </c>
      <c r="L353" s="10">
        <v>27</v>
      </c>
      <c r="M353" s="7" t="s">
        <v>47</v>
      </c>
      <c r="N353" s="32" t="s">
        <v>20</v>
      </c>
    </row>
    <row r="354" spans="1:14" x14ac:dyDescent="0.25">
      <c r="A354" s="29" t="s">
        <v>627</v>
      </c>
      <c r="B354" s="3">
        <v>45292</v>
      </c>
      <c r="C354" s="4" t="s">
        <v>562</v>
      </c>
      <c r="D354" s="2" t="s">
        <v>29</v>
      </c>
      <c r="E354" s="4" t="s">
        <v>88</v>
      </c>
      <c r="F354" s="2" t="s">
        <v>46</v>
      </c>
      <c r="G354" s="2">
        <v>10</v>
      </c>
      <c r="H354" s="5">
        <v>55</v>
      </c>
      <c r="I354" s="5">
        <v>30.25</v>
      </c>
      <c r="J354" s="5">
        <v>550</v>
      </c>
      <c r="K354" s="6">
        <v>0</v>
      </c>
      <c r="L354" s="5">
        <v>550</v>
      </c>
      <c r="M354" s="2" t="s">
        <v>26</v>
      </c>
      <c r="N354" s="31" t="s">
        <v>32</v>
      </c>
    </row>
    <row r="355" spans="1:14" x14ac:dyDescent="0.25">
      <c r="A355" s="30" t="s">
        <v>628</v>
      </c>
      <c r="B355" s="8">
        <v>45322</v>
      </c>
      <c r="C355" s="9" t="s">
        <v>589</v>
      </c>
      <c r="D355" s="7" t="s">
        <v>44</v>
      </c>
      <c r="E355" s="9" t="s">
        <v>120</v>
      </c>
      <c r="F355" s="7" t="s">
        <v>66</v>
      </c>
      <c r="G355" s="7">
        <v>2</v>
      </c>
      <c r="H355" s="10">
        <v>45</v>
      </c>
      <c r="I355" s="10">
        <v>21.6</v>
      </c>
      <c r="J355" s="10">
        <v>90</v>
      </c>
      <c r="K355" s="11">
        <v>5</v>
      </c>
      <c r="L355" s="10">
        <v>85.5</v>
      </c>
      <c r="M355" s="7" t="s">
        <v>47</v>
      </c>
      <c r="N355" s="32" t="s">
        <v>32</v>
      </c>
    </row>
    <row r="356" spans="1:14" x14ac:dyDescent="0.25">
      <c r="A356" s="29" t="s">
        <v>629</v>
      </c>
      <c r="B356" s="3">
        <v>45335</v>
      </c>
      <c r="C356" s="4" t="s">
        <v>630</v>
      </c>
      <c r="D356" s="2" t="s">
        <v>54</v>
      </c>
      <c r="E356" s="4" t="s">
        <v>69</v>
      </c>
      <c r="F356" s="2" t="s">
        <v>70</v>
      </c>
      <c r="G356" s="2">
        <v>5</v>
      </c>
      <c r="H356" s="5">
        <v>95</v>
      </c>
      <c r="I356" s="5">
        <v>42.75</v>
      </c>
      <c r="J356" s="5">
        <v>475</v>
      </c>
      <c r="K356" s="6">
        <v>10</v>
      </c>
      <c r="L356" s="5">
        <v>427.5</v>
      </c>
      <c r="M356" s="2" t="s">
        <v>47</v>
      </c>
      <c r="N356" s="31" t="s">
        <v>20</v>
      </c>
    </row>
    <row r="357" spans="1:14" x14ac:dyDescent="0.25">
      <c r="A357" s="30" t="s">
        <v>631</v>
      </c>
      <c r="B357" s="8">
        <v>45358</v>
      </c>
      <c r="C357" s="9" t="s">
        <v>632</v>
      </c>
      <c r="D357" s="7" t="s">
        <v>16</v>
      </c>
      <c r="E357" s="9" t="s">
        <v>120</v>
      </c>
      <c r="F357" s="7" t="s">
        <v>66</v>
      </c>
      <c r="G357" s="7">
        <v>11</v>
      </c>
      <c r="H357" s="10">
        <v>45</v>
      </c>
      <c r="I357" s="10">
        <v>21.6</v>
      </c>
      <c r="J357" s="10">
        <v>495</v>
      </c>
      <c r="K357" s="11">
        <v>10</v>
      </c>
      <c r="L357" s="10">
        <v>445.5</v>
      </c>
      <c r="M357" s="7" t="s">
        <v>26</v>
      </c>
      <c r="N357" s="32" t="s">
        <v>32</v>
      </c>
    </row>
    <row r="358" spans="1:14" x14ac:dyDescent="0.25">
      <c r="A358" s="29" t="s">
        <v>633</v>
      </c>
      <c r="B358" s="3">
        <v>45431</v>
      </c>
      <c r="C358" s="4" t="s">
        <v>119</v>
      </c>
      <c r="D358" s="2" t="s">
        <v>75</v>
      </c>
      <c r="E358" s="4" t="s">
        <v>201</v>
      </c>
      <c r="F358" s="2" t="s">
        <v>66</v>
      </c>
      <c r="G358" s="2">
        <v>5</v>
      </c>
      <c r="H358" s="5">
        <v>110</v>
      </c>
      <c r="I358" s="5">
        <v>52.8</v>
      </c>
      <c r="J358" s="5">
        <v>550</v>
      </c>
      <c r="K358" s="6">
        <v>0</v>
      </c>
      <c r="L358" s="5">
        <v>550</v>
      </c>
      <c r="M358" s="2" t="s">
        <v>19</v>
      </c>
      <c r="N358" s="31" t="s">
        <v>20</v>
      </c>
    </row>
    <row r="359" spans="1:14" x14ac:dyDescent="0.25">
      <c r="A359" s="30" t="s">
        <v>634</v>
      </c>
      <c r="B359" s="8">
        <v>45500</v>
      </c>
      <c r="C359" s="9" t="s">
        <v>34</v>
      </c>
      <c r="D359" s="7" t="s">
        <v>35</v>
      </c>
      <c r="E359" s="9" t="s">
        <v>41</v>
      </c>
      <c r="F359" s="7" t="s">
        <v>18</v>
      </c>
      <c r="G359" s="7">
        <v>7</v>
      </c>
      <c r="H359" s="10">
        <v>150</v>
      </c>
      <c r="I359" s="10">
        <v>78</v>
      </c>
      <c r="J359" s="10">
        <v>1050</v>
      </c>
      <c r="K359" s="11">
        <v>15</v>
      </c>
      <c r="L359" s="10">
        <v>892.5</v>
      </c>
      <c r="M359" s="7" t="s">
        <v>19</v>
      </c>
      <c r="N359" s="32" t="s">
        <v>20</v>
      </c>
    </row>
    <row r="360" spans="1:14" x14ac:dyDescent="0.25">
      <c r="A360" s="29" t="s">
        <v>635</v>
      </c>
      <c r="B360" s="3">
        <v>45372</v>
      </c>
      <c r="C360" s="4" t="s">
        <v>268</v>
      </c>
      <c r="D360" s="2" t="s">
        <v>16</v>
      </c>
      <c r="E360" s="4" t="s">
        <v>88</v>
      </c>
      <c r="F360" s="2" t="s">
        <v>46</v>
      </c>
      <c r="G360" s="2">
        <v>20</v>
      </c>
      <c r="H360" s="5">
        <v>55</v>
      </c>
      <c r="I360" s="5">
        <v>30.25</v>
      </c>
      <c r="J360" s="5">
        <v>1100</v>
      </c>
      <c r="K360" s="6">
        <v>0</v>
      </c>
      <c r="L360" s="5">
        <v>1100</v>
      </c>
      <c r="M360" s="2" t="s">
        <v>26</v>
      </c>
      <c r="N360" s="31" t="s">
        <v>32</v>
      </c>
    </row>
    <row r="361" spans="1:14" x14ac:dyDescent="0.25">
      <c r="A361" s="30" t="s">
        <v>636</v>
      </c>
      <c r="B361" s="8">
        <v>45656</v>
      </c>
      <c r="C361" s="9" t="s">
        <v>111</v>
      </c>
      <c r="D361" s="7" t="s">
        <v>29</v>
      </c>
      <c r="E361" s="9" t="s">
        <v>120</v>
      </c>
      <c r="F361" s="7" t="s">
        <v>66</v>
      </c>
      <c r="G361" s="7">
        <v>17</v>
      </c>
      <c r="H361" s="10">
        <v>45</v>
      </c>
      <c r="I361" s="10">
        <v>21.6</v>
      </c>
      <c r="J361" s="10">
        <v>765</v>
      </c>
      <c r="K361" s="11">
        <v>0</v>
      </c>
      <c r="L361" s="10">
        <v>765</v>
      </c>
      <c r="M361" s="7" t="s">
        <v>19</v>
      </c>
      <c r="N361" s="32" t="s">
        <v>32</v>
      </c>
    </row>
    <row r="362" spans="1:14" x14ac:dyDescent="0.25">
      <c r="A362" s="29" t="s">
        <v>637</v>
      </c>
      <c r="B362" s="3">
        <v>45499</v>
      </c>
      <c r="C362" s="4" t="s">
        <v>268</v>
      </c>
      <c r="D362" s="2" t="s">
        <v>54</v>
      </c>
      <c r="E362" s="4" t="s">
        <v>45</v>
      </c>
      <c r="F362" s="2" t="s">
        <v>46</v>
      </c>
      <c r="G362" s="2">
        <v>18</v>
      </c>
      <c r="H362" s="5">
        <v>450</v>
      </c>
      <c r="I362" s="5">
        <v>247.5</v>
      </c>
      <c r="J362" s="5">
        <v>8100</v>
      </c>
      <c r="K362" s="6">
        <v>5</v>
      </c>
      <c r="L362" s="5">
        <v>7695</v>
      </c>
      <c r="M362" s="2" t="s">
        <v>19</v>
      </c>
      <c r="N362" s="31" t="s">
        <v>20</v>
      </c>
    </row>
    <row r="363" spans="1:14" x14ac:dyDescent="0.25">
      <c r="A363" s="30" t="s">
        <v>638</v>
      </c>
      <c r="B363" s="8">
        <v>45298</v>
      </c>
      <c r="C363" s="9" t="s">
        <v>566</v>
      </c>
      <c r="D363" s="7" t="s">
        <v>130</v>
      </c>
      <c r="E363" s="9" t="s">
        <v>126</v>
      </c>
      <c r="F363" s="7" t="s">
        <v>18</v>
      </c>
      <c r="G363" s="7">
        <v>7</v>
      </c>
      <c r="H363" s="10">
        <v>120</v>
      </c>
      <c r="I363" s="10">
        <v>62.4</v>
      </c>
      <c r="J363" s="10">
        <v>840</v>
      </c>
      <c r="K363" s="11">
        <v>10</v>
      </c>
      <c r="L363" s="10">
        <v>756</v>
      </c>
      <c r="M363" s="7" t="s">
        <v>26</v>
      </c>
      <c r="N363" s="32" t="s">
        <v>20</v>
      </c>
    </row>
    <row r="364" spans="1:14" x14ac:dyDescent="0.25">
      <c r="A364" s="29" t="s">
        <v>639</v>
      </c>
      <c r="B364" s="3">
        <v>45592</v>
      </c>
      <c r="C364" s="4" t="s">
        <v>268</v>
      </c>
      <c r="D364" s="2" t="s">
        <v>23</v>
      </c>
      <c r="E364" s="4" t="s">
        <v>229</v>
      </c>
      <c r="F364" s="2" t="s">
        <v>51</v>
      </c>
      <c r="G364" s="2">
        <v>3</v>
      </c>
      <c r="H364" s="5">
        <v>850</v>
      </c>
      <c r="I364" s="5">
        <v>510</v>
      </c>
      <c r="J364" s="5">
        <v>2550</v>
      </c>
      <c r="K364" s="6">
        <v>5</v>
      </c>
      <c r="L364" s="5">
        <v>2422.5</v>
      </c>
      <c r="M364" s="2" t="s">
        <v>47</v>
      </c>
      <c r="N364" s="31" t="s">
        <v>32</v>
      </c>
    </row>
    <row r="365" spans="1:14" x14ac:dyDescent="0.25">
      <c r="A365" s="30" t="s">
        <v>640</v>
      </c>
      <c r="B365" s="8">
        <v>45461</v>
      </c>
      <c r="C365" s="9" t="s">
        <v>503</v>
      </c>
      <c r="D365" s="7" t="s">
        <v>59</v>
      </c>
      <c r="E365" s="9" t="s">
        <v>17</v>
      </c>
      <c r="F365" s="7" t="s">
        <v>18</v>
      </c>
      <c r="G365" s="7">
        <v>2</v>
      </c>
      <c r="H365" s="10">
        <v>20</v>
      </c>
      <c r="I365" s="10">
        <v>10.4</v>
      </c>
      <c r="J365" s="10">
        <v>40</v>
      </c>
      <c r="K365" s="11">
        <v>0</v>
      </c>
      <c r="L365" s="10">
        <v>40</v>
      </c>
      <c r="M365" s="7" t="s">
        <v>47</v>
      </c>
      <c r="N365" s="32" t="s">
        <v>32</v>
      </c>
    </row>
    <row r="366" spans="1:14" x14ac:dyDescent="0.25">
      <c r="A366" s="29" t="s">
        <v>641</v>
      </c>
      <c r="B366" s="3">
        <v>45307</v>
      </c>
      <c r="C366" s="4" t="s">
        <v>87</v>
      </c>
      <c r="D366" s="2" t="s">
        <v>130</v>
      </c>
      <c r="E366" s="4" t="s">
        <v>60</v>
      </c>
      <c r="F366" s="2" t="s">
        <v>25</v>
      </c>
      <c r="G366" s="2">
        <v>12</v>
      </c>
      <c r="H366" s="5">
        <v>55</v>
      </c>
      <c r="I366" s="5">
        <v>27.5</v>
      </c>
      <c r="J366" s="5">
        <v>660</v>
      </c>
      <c r="K366" s="6">
        <v>5</v>
      </c>
      <c r="L366" s="5">
        <v>627</v>
      </c>
      <c r="M366" s="2" t="s">
        <v>19</v>
      </c>
      <c r="N366" s="31" t="s">
        <v>32</v>
      </c>
    </row>
    <row r="367" spans="1:14" x14ac:dyDescent="0.25">
      <c r="A367" s="30" t="s">
        <v>642</v>
      </c>
      <c r="B367" s="8">
        <v>45368</v>
      </c>
      <c r="C367" s="9" t="s">
        <v>394</v>
      </c>
      <c r="D367" s="7" t="s">
        <v>117</v>
      </c>
      <c r="E367" s="9" t="s">
        <v>151</v>
      </c>
      <c r="F367" s="7" t="s">
        <v>18</v>
      </c>
      <c r="G367" s="7">
        <v>20</v>
      </c>
      <c r="H367" s="10">
        <v>95</v>
      </c>
      <c r="I367" s="10">
        <v>49.4</v>
      </c>
      <c r="J367" s="10">
        <v>1900</v>
      </c>
      <c r="K367" s="11">
        <v>5</v>
      </c>
      <c r="L367" s="10">
        <v>1805</v>
      </c>
      <c r="M367" s="7" t="s">
        <v>47</v>
      </c>
      <c r="N367" s="32" t="s">
        <v>20</v>
      </c>
    </row>
    <row r="368" spans="1:14" x14ac:dyDescent="0.25">
      <c r="A368" s="29" t="s">
        <v>643</v>
      </c>
      <c r="B368" s="3">
        <v>45323</v>
      </c>
      <c r="C368" s="4" t="s">
        <v>311</v>
      </c>
      <c r="D368" s="2" t="s">
        <v>29</v>
      </c>
      <c r="E368" s="4" t="s">
        <v>198</v>
      </c>
      <c r="F368" s="2" t="s">
        <v>18</v>
      </c>
      <c r="G368" s="2">
        <v>5</v>
      </c>
      <c r="H368" s="5">
        <v>35</v>
      </c>
      <c r="I368" s="5">
        <v>18.2</v>
      </c>
      <c r="J368" s="5">
        <v>175</v>
      </c>
      <c r="K368" s="6">
        <v>10</v>
      </c>
      <c r="L368" s="5">
        <v>157.5</v>
      </c>
      <c r="M368" s="2" t="s">
        <v>26</v>
      </c>
      <c r="N368" s="31" t="s">
        <v>20</v>
      </c>
    </row>
    <row r="369" spans="1:14" x14ac:dyDescent="0.25">
      <c r="A369" s="30" t="s">
        <v>644</v>
      </c>
      <c r="B369" s="8">
        <v>45614</v>
      </c>
      <c r="C369" s="9" t="s">
        <v>137</v>
      </c>
      <c r="D369" s="7" t="s">
        <v>23</v>
      </c>
      <c r="E369" s="9" t="s">
        <v>88</v>
      </c>
      <c r="F369" s="7" t="s">
        <v>46</v>
      </c>
      <c r="G369" s="7">
        <v>13</v>
      </c>
      <c r="H369" s="10">
        <v>55</v>
      </c>
      <c r="I369" s="10">
        <v>30.25</v>
      </c>
      <c r="J369" s="10">
        <v>715</v>
      </c>
      <c r="K369" s="11">
        <v>10</v>
      </c>
      <c r="L369" s="10">
        <v>643.5</v>
      </c>
      <c r="M369" s="7" t="s">
        <v>26</v>
      </c>
      <c r="N369" s="32" t="s">
        <v>32</v>
      </c>
    </row>
    <row r="370" spans="1:14" x14ac:dyDescent="0.25">
      <c r="A370" s="29" t="s">
        <v>645</v>
      </c>
      <c r="B370" s="3">
        <v>45581</v>
      </c>
      <c r="C370" s="4" t="s">
        <v>167</v>
      </c>
      <c r="D370" s="2" t="s">
        <v>29</v>
      </c>
      <c r="E370" s="4" t="s">
        <v>79</v>
      </c>
      <c r="F370" s="2" t="s">
        <v>70</v>
      </c>
      <c r="G370" s="2">
        <v>9</v>
      </c>
      <c r="H370" s="5">
        <v>70</v>
      </c>
      <c r="I370" s="5">
        <v>31.5</v>
      </c>
      <c r="J370" s="5">
        <v>630</v>
      </c>
      <c r="K370" s="6">
        <v>0</v>
      </c>
      <c r="L370" s="5">
        <v>630</v>
      </c>
      <c r="M370" s="2" t="s">
        <v>47</v>
      </c>
      <c r="N370" s="31" t="s">
        <v>20</v>
      </c>
    </row>
    <row r="371" spans="1:14" x14ac:dyDescent="0.25">
      <c r="A371" s="30" t="s">
        <v>646</v>
      </c>
      <c r="B371" s="8">
        <v>45435</v>
      </c>
      <c r="C371" s="9" t="s">
        <v>570</v>
      </c>
      <c r="D371" s="7" t="s">
        <v>54</v>
      </c>
      <c r="E371" s="9" t="s">
        <v>123</v>
      </c>
      <c r="F371" s="7" t="s">
        <v>18</v>
      </c>
      <c r="G371" s="7">
        <v>12</v>
      </c>
      <c r="H371" s="10">
        <v>75</v>
      </c>
      <c r="I371" s="10">
        <v>39</v>
      </c>
      <c r="J371" s="10">
        <v>900</v>
      </c>
      <c r="K371" s="11">
        <v>5</v>
      </c>
      <c r="L371" s="10">
        <v>855</v>
      </c>
      <c r="M371" s="7" t="s">
        <v>19</v>
      </c>
      <c r="N371" s="32" t="s">
        <v>32</v>
      </c>
    </row>
    <row r="372" spans="1:14" x14ac:dyDescent="0.25">
      <c r="A372" s="29" t="s">
        <v>647</v>
      </c>
      <c r="B372" s="3">
        <v>45565</v>
      </c>
      <c r="C372" s="4" t="s">
        <v>274</v>
      </c>
      <c r="D372" s="2" t="s">
        <v>23</v>
      </c>
      <c r="E372" s="4" t="s">
        <v>88</v>
      </c>
      <c r="F372" s="2" t="s">
        <v>46</v>
      </c>
      <c r="G372" s="2">
        <v>8</v>
      </c>
      <c r="H372" s="5">
        <v>55</v>
      </c>
      <c r="I372" s="5">
        <v>30.25</v>
      </c>
      <c r="J372" s="5">
        <v>440</v>
      </c>
      <c r="K372" s="6">
        <v>10</v>
      </c>
      <c r="L372" s="5">
        <v>396</v>
      </c>
      <c r="M372" s="2" t="s">
        <v>26</v>
      </c>
      <c r="N372" s="31" t="s">
        <v>32</v>
      </c>
    </row>
    <row r="373" spans="1:14" x14ac:dyDescent="0.25">
      <c r="A373" s="30" t="s">
        <v>648</v>
      </c>
      <c r="B373" s="8">
        <v>45413</v>
      </c>
      <c r="C373" s="9" t="s">
        <v>244</v>
      </c>
      <c r="D373" s="7" t="s">
        <v>35</v>
      </c>
      <c r="E373" s="9" t="s">
        <v>79</v>
      </c>
      <c r="F373" s="7" t="s">
        <v>70</v>
      </c>
      <c r="G373" s="7">
        <v>19</v>
      </c>
      <c r="H373" s="10">
        <v>70</v>
      </c>
      <c r="I373" s="10">
        <v>31.5</v>
      </c>
      <c r="J373" s="10">
        <v>1330</v>
      </c>
      <c r="K373" s="11">
        <v>0</v>
      </c>
      <c r="L373" s="10">
        <v>1330</v>
      </c>
      <c r="M373" s="7" t="s">
        <v>47</v>
      </c>
      <c r="N373" s="32" t="s">
        <v>32</v>
      </c>
    </row>
    <row r="374" spans="1:14" x14ac:dyDescent="0.25">
      <c r="A374" s="29" t="s">
        <v>649</v>
      </c>
      <c r="B374" s="3">
        <v>45364</v>
      </c>
      <c r="C374" s="4" t="s">
        <v>650</v>
      </c>
      <c r="D374" s="2" t="s">
        <v>59</v>
      </c>
      <c r="E374" s="4" t="s">
        <v>69</v>
      </c>
      <c r="F374" s="2" t="s">
        <v>70</v>
      </c>
      <c r="G374" s="2">
        <v>18</v>
      </c>
      <c r="H374" s="5">
        <v>95</v>
      </c>
      <c r="I374" s="5">
        <v>42.75</v>
      </c>
      <c r="J374" s="5">
        <v>1710</v>
      </c>
      <c r="K374" s="6">
        <v>5</v>
      </c>
      <c r="L374" s="5">
        <v>1624.5</v>
      </c>
      <c r="M374" s="2" t="s">
        <v>19</v>
      </c>
      <c r="N374" s="31" t="s">
        <v>20</v>
      </c>
    </row>
    <row r="375" spans="1:14" x14ac:dyDescent="0.25">
      <c r="A375" s="30" t="s">
        <v>651</v>
      </c>
      <c r="B375" s="8">
        <v>45600</v>
      </c>
      <c r="C375" s="9" t="s">
        <v>652</v>
      </c>
      <c r="D375" s="7" t="s">
        <v>54</v>
      </c>
      <c r="E375" s="9" t="s">
        <v>201</v>
      </c>
      <c r="F375" s="7" t="s">
        <v>66</v>
      </c>
      <c r="G375" s="7">
        <v>16</v>
      </c>
      <c r="H375" s="10">
        <v>110</v>
      </c>
      <c r="I375" s="10">
        <v>52.8</v>
      </c>
      <c r="J375" s="10">
        <v>1760</v>
      </c>
      <c r="K375" s="11">
        <v>0</v>
      </c>
      <c r="L375" s="10">
        <v>1760</v>
      </c>
      <c r="M375" s="7" t="s">
        <v>26</v>
      </c>
      <c r="N375" s="32" t="s">
        <v>32</v>
      </c>
    </row>
    <row r="376" spans="1:14" x14ac:dyDescent="0.25">
      <c r="A376" s="29" t="s">
        <v>653</v>
      </c>
      <c r="B376" s="3">
        <v>45382</v>
      </c>
      <c r="C376" s="4" t="s">
        <v>266</v>
      </c>
      <c r="D376" s="2" t="s">
        <v>23</v>
      </c>
      <c r="E376" s="4" t="s">
        <v>45</v>
      </c>
      <c r="F376" s="2" t="s">
        <v>46</v>
      </c>
      <c r="G376" s="2">
        <v>1</v>
      </c>
      <c r="H376" s="5">
        <v>450</v>
      </c>
      <c r="I376" s="5">
        <v>247.5</v>
      </c>
      <c r="J376" s="5">
        <v>450</v>
      </c>
      <c r="K376" s="6">
        <v>0</v>
      </c>
      <c r="L376" s="5">
        <v>450</v>
      </c>
      <c r="M376" s="2" t="s">
        <v>26</v>
      </c>
      <c r="N376" s="31" t="s">
        <v>32</v>
      </c>
    </row>
    <row r="377" spans="1:14" x14ac:dyDescent="0.25">
      <c r="A377" s="30" t="s">
        <v>654</v>
      </c>
      <c r="B377" s="8">
        <v>45561</v>
      </c>
      <c r="C377" s="9" t="s">
        <v>209</v>
      </c>
      <c r="D377" s="7" t="s">
        <v>44</v>
      </c>
      <c r="E377" s="9" t="s">
        <v>45</v>
      </c>
      <c r="F377" s="7" t="s">
        <v>46</v>
      </c>
      <c r="G377" s="7">
        <v>12</v>
      </c>
      <c r="H377" s="10">
        <v>450</v>
      </c>
      <c r="I377" s="10">
        <v>247.5</v>
      </c>
      <c r="J377" s="10">
        <v>5400</v>
      </c>
      <c r="K377" s="11">
        <v>10</v>
      </c>
      <c r="L377" s="10">
        <v>4860</v>
      </c>
      <c r="M377" s="7" t="s">
        <v>47</v>
      </c>
      <c r="N377" s="32" t="s">
        <v>32</v>
      </c>
    </row>
    <row r="378" spans="1:14" x14ac:dyDescent="0.25">
      <c r="A378" s="29" t="s">
        <v>655</v>
      </c>
      <c r="B378" s="3">
        <v>45372</v>
      </c>
      <c r="C378" s="4" t="s">
        <v>252</v>
      </c>
      <c r="D378" s="2" t="s">
        <v>59</v>
      </c>
      <c r="E378" s="4" t="s">
        <v>36</v>
      </c>
      <c r="F378" s="2" t="s">
        <v>31</v>
      </c>
      <c r="G378" s="2">
        <v>11</v>
      </c>
      <c r="H378" s="5">
        <v>65</v>
      </c>
      <c r="I378" s="5">
        <v>30.55</v>
      </c>
      <c r="J378" s="5">
        <v>715</v>
      </c>
      <c r="K378" s="6">
        <v>0</v>
      </c>
      <c r="L378" s="5">
        <v>715</v>
      </c>
      <c r="M378" s="2" t="s">
        <v>47</v>
      </c>
      <c r="N378" s="31" t="s">
        <v>32</v>
      </c>
    </row>
    <row r="379" spans="1:14" x14ac:dyDescent="0.25">
      <c r="A379" s="30" t="s">
        <v>656</v>
      </c>
      <c r="B379" s="8">
        <v>45474</v>
      </c>
      <c r="C379" s="9" t="s">
        <v>399</v>
      </c>
      <c r="D379" s="7" t="s">
        <v>130</v>
      </c>
      <c r="E379" s="9" t="s">
        <v>82</v>
      </c>
      <c r="F379" s="7" t="s">
        <v>66</v>
      </c>
      <c r="G379" s="7">
        <v>13</v>
      </c>
      <c r="H379" s="10">
        <v>80</v>
      </c>
      <c r="I379" s="10">
        <v>38.4</v>
      </c>
      <c r="J379" s="10">
        <v>1040</v>
      </c>
      <c r="K379" s="11">
        <v>5</v>
      </c>
      <c r="L379" s="10">
        <v>988</v>
      </c>
      <c r="M379" s="7" t="s">
        <v>19</v>
      </c>
      <c r="N379" s="32" t="s">
        <v>32</v>
      </c>
    </row>
    <row r="380" spans="1:14" x14ac:dyDescent="0.25">
      <c r="A380" s="29" t="s">
        <v>657</v>
      </c>
      <c r="B380" s="3">
        <v>45292</v>
      </c>
      <c r="C380" s="4" t="s">
        <v>228</v>
      </c>
      <c r="D380" s="2" t="s">
        <v>29</v>
      </c>
      <c r="E380" s="4" t="s">
        <v>30</v>
      </c>
      <c r="F380" s="2" t="s">
        <v>31</v>
      </c>
      <c r="G380" s="2">
        <v>19</v>
      </c>
      <c r="H380" s="5">
        <v>72</v>
      </c>
      <c r="I380" s="5">
        <v>33.840000000000003</v>
      </c>
      <c r="J380" s="5">
        <v>1368</v>
      </c>
      <c r="K380" s="6">
        <v>0</v>
      </c>
      <c r="L380" s="5">
        <v>1368</v>
      </c>
      <c r="M380" s="2" t="s">
        <v>47</v>
      </c>
      <c r="N380" s="31" t="s">
        <v>20</v>
      </c>
    </row>
    <row r="381" spans="1:14" x14ac:dyDescent="0.25">
      <c r="A381" s="30" t="s">
        <v>658</v>
      </c>
      <c r="B381" s="8">
        <v>45619</v>
      </c>
      <c r="C381" s="9" t="s">
        <v>209</v>
      </c>
      <c r="D381" s="7" t="s">
        <v>59</v>
      </c>
      <c r="E381" s="9" t="s">
        <v>69</v>
      </c>
      <c r="F381" s="7" t="s">
        <v>70</v>
      </c>
      <c r="G381" s="7">
        <v>5</v>
      </c>
      <c r="H381" s="10">
        <v>95</v>
      </c>
      <c r="I381" s="10">
        <v>42.75</v>
      </c>
      <c r="J381" s="10">
        <v>475</v>
      </c>
      <c r="K381" s="11">
        <v>10</v>
      </c>
      <c r="L381" s="10">
        <v>427.5</v>
      </c>
      <c r="M381" s="7" t="s">
        <v>19</v>
      </c>
      <c r="N381" s="32" t="s">
        <v>32</v>
      </c>
    </row>
    <row r="382" spans="1:14" x14ac:dyDescent="0.25">
      <c r="A382" s="29" t="s">
        <v>659</v>
      </c>
      <c r="B382" s="3">
        <v>45617</v>
      </c>
      <c r="C382" s="4" t="s">
        <v>660</v>
      </c>
      <c r="D382" s="2" t="s">
        <v>59</v>
      </c>
      <c r="E382" s="4" t="s">
        <v>38</v>
      </c>
      <c r="F382" s="2" t="s">
        <v>18</v>
      </c>
      <c r="G382" s="2">
        <v>1</v>
      </c>
      <c r="H382" s="5">
        <v>30</v>
      </c>
      <c r="I382" s="5">
        <v>15.6</v>
      </c>
      <c r="J382" s="5">
        <v>30</v>
      </c>
      <c r="K382" s="6">
        <v>5</v>
      </c>
      <c r="L382" s="5">
        <v>28.5</v>
      </c>
      <c r="M382" s="2" t="s">
        <v>26</v>
      </c>
      <c r="N382" s="31" t="s">
        <v>20</v>
      </c>
    </row>
    <row r="383" spans="1:14" x14ac:dyDescent="0.25">
      <c r="A383" s="30" t="s">
        <v>661</v>
      </c>
      <c r="B383" s="8">
        <v>45347</v>
      </c>
      <c r="C383" s="9" t="s">
        <v>562</v>
      </c>
      <c r="D383" s="7" t="s">
        <v>23</v>
      </c>
      <c r="E383" s="9" t="s">
        <v>164</v>
      </c>
      <c r="F383" s="7" t="s">
        <v>31</v>
      </c>
      <c r="G383" s="7">
        <v>13</v>
      </c>
      <c r="H383" s="10">
        <v>85</v>
      </c>
      <c r="I383" s="10">
        <v>39.950000000000003</v>
      </c>
      <c r="J383" s="10">
        <v>1105</v>
      </c>
      <c r="K383" s="11">
        <v>15</v>
      </c>
      <c r="L383" s="10">
        <v>939.25</v>
      </c>
      <c r="M383" s="7" t="s">
        <v>26</v>
      </c>
      <c r="N383" s="32" t="s">
        <v>32</v>
      </c>
    </row>
    <row r="384" spans="1:14" x14ac:dyDescent="0.25">
      <c r="A384" s="29" t="s">
        <v>662</v>
      </c>
      <c r="B384" s="3">
        <v>45485</v>
      </c>
      <c r="C384" s="4" t="s">
        <v>392</v>
      </c>
      <c r="D384" s="2" t="s">
        <v>44</v>
      </c>
      <c r="E384" s="4" t="s">
        <v>96</v>
      </c>
      <c r="F384" s="2" t="s">
        <v>51</v>
      </c>
      <c r="G384" s="2">
        <v>16</v>
      </c>
      <c r="H384" s="5">
        <v>60</v>
      </c>
      <c r="I384" s="5">
        <v>36</v>
      </c>
      <c r="J384" s="5">
        <v>960</v>
      </c>
      <c r="K384" s="6">
        <v>5</v>
      </c>
      <c r="L384" s="5">
        <v>912</v>
      </c>
      <c r="M384" s="2" t="s">
        <v>19</v>
      </c>
      <c r="N384" s="31" t="s">
        <v>20</v>
      </c>
    </row>
    <row r="385" spans="1:14" x14ac:dyDescent="0.25">
      <c r="A385" s="30" t="s">
        <v>663</v>
      </c>
      <c r="B385" s="8">
        <v>45302</v>
      </c>
      <c r="C385" s="9" t="s">
        <v>92</v>
      </c>
      <c r="D385" s="7" t="s">
        <v>44</v>
      </c>
      <c r="E385" s="9" t="s">
        <v>275</v>
      </c>
      <c r="F385" s="7" t="s">
        <v>51</v>
      </c>
      <c r="G385" s="7">
        <v>3</v>
      </c>
      <c r="H385" s="10">
        <v>95</v>
      </c>
      <c r="I385" s="10">
        <v>57</v>
      </c>
      <c r="J385" s="10">
        <v>285</v>
      </c>
      <c r="K385" s="11">
        <v>10</v>
      </c>
      <c r="L385" s="10">
        <v>256.5</v>
      </c>
      <c r="M385" s="7" t="s">
        <v>47</v>
      </c>
      <c r="N385" s="32" t="s">
        <v>20</v>
      </c>
    </row>
    <row r="386" spans="1:14" x14ac:dyDescent="0.25">
      <c r="A386" s="29" t="s">
        <v>664</v>
      </c>
      <c r="B386" s="3">
        <v>45339</v>
      </c>
      <c r="C386" s="4" t="s">
        <v>401</v>
      </c>
      <c r="D386" s="2" t="s">
        <v>23</v>
      </c>
      <c r="E386" s="4" t="s">
        <v>96</v>
      </c>
      <c r="F386" s="2" t="s">
        <v>51</v>
      </c>
      <c r="G386" s="2">
        <v>14</v>
      </c>
      <c r="H386" s="5">
        <v>60</v>
      </c>
      <c r="I386" s="5">
        <v>36</v>
      </c>
      <c r="J386" s="5">
        <v>840</v>
      </c>
      <c r="K386" s="6">
        <v>0</v>
      </c>
      <c r="L386" s="5">
        <v>840</v>
      </c>
      <c r="M386" s="2" t="s">
        <v>47</v>
      </c>
      <c r="N386" s="31" t="s">
        <v>20</v>
      </c>
    </row>
    <row r="387" spans="1:14" x14ac:dyDescent="0.25">
      <c r="A387" s="30" t="s">
        <v>665</v>
      </c>
      <c r="B387" s="8">
        <v>45461</v>
      </c>
      <c r="C387" s="9" t="s">
        <v>512</v>
      </c>
      <c r="D387" s="7" t="s">
        <v>29</v>
      </c>
      <c r="E387" s="9" t="s">
        <v>65</v>
      </c>
      <c r="F387" s="7" t="s">
        <v>66</v>
      </c>
      <c r="G387" s="7">
        <v>18</v>
      </c>
      <c r="H387" s="10">
        <v>65</v>
      </c>
      <c r="I387" s="10">
        <v>31.2</v>
      </c>
      <c r="J387" s="10">
        <v>1170</v>
      </c>
      <c r="K387" s="11">
        <v>20</v>
      </c>
      <c r="L387" s="10">
        <v>936</v>
      </c>
      <c r="M387" s="7" t="s">
        <v>19</v>
      </c>
      <c r="N387" s="32" t="s">
        <v>20</v>
      </c>
    </row>
    <row r="388" spans="1:14" x14ac:dyDescent="0.25">
      <c r="A388" s="29" t="s">
        <v>666</v>
      </c>
      <c r="B388" s="3">
        <v>45317</v>
      </c>
      <c r="C388" s="4" t="s">
        <v>667</v>
      </c>
      <c r="D388" s="2" t="s">
        <v>130</v>
      </c>
      <c r="E388" s="4" t="s">
        <v>60</v>
      </c>
      <c r="F388" s="2" t="s">
        <v>25</v>
      </c>
      <c r="G388" s="2">
        <v>2</v>
      </c>
      <c r="H388" s="5">
        <v>55</v>
      </c>
      <c r="I388" s="5">
        <v>27.5</v>
      </c>
      <c r="J388" s="5">
        <v>110</v>
      </c>
      <c r="K388" s="6">
        <v>10</v>
      </c>
      <c r="L388" s="5">
        <v>99</v>
      </c>
      <c r="M388" s="2" t="s">
        <v>19</v>
      </c>
      <c r="N388" s="31" t="s">
        <v>20</v>
      </c>
    </row>
    <row r="389" spans="1:14" x14ac:dyDescent="0.25">
      <c r="A389" s="30" t="s">
        <v>668</v>
      </c>
      <c r="B389" s="8">
        <v>45394</v>
      </c>
      <c r="C389" s="9" t="s">
        <v>669</v>
      </c>
      <c r="D389" s="7" t="s">
        <v>75</v>
      </c>
      <c r="E389" s="9" t="s">
        <v>17</v>
      </c>
      <c r="F389" s="7" t="s">
        <v>18</v>
      </c>
      <c r="G389" s="7">
        <v>6</v>
      </c>
      <c r="H389" s="10">
        <v>20</v>
      </c>
      <c r="I389" s="10">
        <v>10.4</v>
      </c>
      <c r="J389" s="10">
        <v>120</v>
      </c>
      <c r="K389" s="11">
        <v>5</v>
      </c>
      <c r="L389" s="10">
        <v>114</v>
      </c>
      <c r="M389" s="7" t="s">
        <v>47</v>
      </c>
      <c r="N389" s="32" t="s">
        <v>32</v>
      </c>
    </row>
    <row r="390" spans="1:14" x14ac:dyDescent="0.25">
      <c r="A390" s="29" t="s">
        <v>670</v>
      </c>
      <c r="B390" s="3">
        <v>45495</v>
      </c>
      <c r="C390" s="4" t="s">
        <v>546</v>
      </c>
      <c r="D390" s="2" t="s">
        <v>16</v>
      </c>
      <c r="E390" s="4" t="s">
        <v>60</v>
      </c>
      <c r="F390" s="2" t="s">
        <v>25</v>
      </c>
      <c r="G390" s="2">
        <v>3</v>
      </c>
      <c r="H390" s="5">
        <v>55</v>
      </c>
      <c r="I390" s="5">
        <v>27.5</v>
      </c>
      <c r="J390" s="5">
        <v>165</v>
      </c>
      <c r="K390" s="6">
        <v>20</v>
      </c>
      <c r="L390" s="5">
        <v>132</v>
      </c>
      <c r="M390" s="2" t="s">
        <v>47</v>
      </c>
      <c r="N390" s="31" t="s">
        <v>20</v>
      </c>
    </row>
    <row r="391" spans="1:14" x14ac:dyDescent="0.25">
      <c r="A391" s="30" t="s">
        <v>671</v>
      </c>
      <c r="B391" s="8">
        <v>45387</v>
      </c>
      <c r="C391" s="9" t="s">
        <v>672</v>
      </c>
      <c r="D391" s="7" t="s">
        <v>16</v>
      </c>
      <c r="E391" s="9" t="s">
        <v>24</v>
      </c>
      <c r="F391" s="7" t="s">
        <v>25</v>
      </c>
      <c r="G391" s="7">
        <v>15</v>
      </c>
      <c r="H391" s="10">
        <v>40</v>
      </c>
      <c r="I391" s="10">
        <v>20</v>
      </c>
      <c r="J391" s="10">
        <v>600</v>
      </c>
      <c r="K391" s="11">
        <v>15</v>
      </c>
      <c r="L391" s="10">
        <v>510</v>
      </c>
      <c r="M391" s="7" t="s">
        <v>26</v>
      </c>
      <c r="N391" s="32" t="s">
        <v>20</v>
      </c>
    </row>
    <row r="392" spans="1:14" x14ac:dyDescent="0.25">
      <c r="A392" s="29" t="s">
        <v>673</v>
      </c>
      <c r="B392" s="3">
        <v>45369</v>
      </c>
      <c r="C392" s="4" t="s">
        <v>303</v>
      </c>
      <c r="D392" s="2" t="s">
        <v>44</v>
      </c>
      <c r="E392" s="4" t="s">
        <v>88</v>
      </c>
      <c r="F392" s="2" t="s">
        <v>46</v>
      </c>
      <c r="G392" s="2">
        <v>3</v>
      </c>
      <c r="H392" s="5">
        <v>55</v>
      </c>
      <c r="I392" s="5">
        <v>30.25</v>
      </c>
      <c r="J392" s="5">
        <v>165</v>
      </c>
      <c r="K392" s="6">
        <v>10</v>
      </c>
      <c r="L392" s="5">
        <v>148.5</v>
      </c>
      <c r="M392" s="2" t="s">
        <v>47</v>
      </c>
      <c r="N392" s="31" t="s">
        <v>32</v>
      </c>
    </row>
    <row r="393" spans="1:14" x14ac:dyDescent="0.25">
      <c r="A393" s="30" t="s">
        <v>674</v>
      </c>
      <c r="B393" s="8">
        <v>45575</v>
      </c>
      <c r="C393" s="9" t="s">
        <v>240</v>
      </c>
      <c r="D393" s="7" t="s">
        <v>54</v>
      </c>
      <c r="E393" s="9" t="s">
        <v>675</v>
      </c>
      <c r="F393" s="7" t="s">
        <v>18</v>
      </c>
      <c r="G393" s="7">
        <v>14</v>
      </c>
      <c r="H393" s="10">
        <v>18</v>
      </c>
      <c r="I393" s="10">
        <v>9.36</v>
      </c>
      <c r="J393" s="10">
        <v>252</v>
      </c>
      <c r="K393" s="11">
        <v>20</v>
      </c>
      <c r="L393" s="10">
        <v>201.6</v>
      </c>
      <c r="M393" s="7" t="s">
        <v>26</v>
      </c>
      <c r="N393" s="32" t="s">
        <v>32</v>
      </c>
    </row>
    <row r="394" spans="1:14" x14ac:dyDescent="0.25">
      <c r="A394" s="29" t="s">
        <v>676</v>
      </c>
      <c r="B394" s="3">
        <v>45412</v>
      </c>
      <c r="C394" s="4" t="s">
        <v>677</v>
      </c>
      <c r="D394" s="2" t="s">
        <v>44</v>
      </c>
      <c r="E394" s="4" t="s">
        <v>196</v>
      </c>
      <c r="F394" s="2" t="s">
        <v>25</v>
      </c>
      <c r="G394" s="2">
        <v>13</v>
      </c>
      <c r="H394" s="5">
        <v>75</v>
      </c>
      <c r="I394" s="5">
        <v>37.5</v>
      </c>
      <c r="J394" s="5">
        <v>975</v>
      </c>
      <c r="K394" s="6">
        <v>0</v>
      </c>
      <c r="L394" s="5">
        <v>975</v>
      </c>
      <c r="M394" s="2" t="s">
        <v>26</v>
      </c>
      <c r="N394" s="31" t="s">
        <v>20</v>
      </c>
    </row>
    <row r="395" spans="1:14" x14ac:dyDescent="0.25">
      <c r="A395" s="30" t="s">
        <v>678</v>
      </c>
      <c r="B395" s="8">
        <v>45609</v>
      </c>
      <c r="C395" s="9" t="s">
        <v>462</v>
      </c>
      <c r="D395" s="7" t="s">
        <v>59</v>
      </c>
      <c r="E395" s="9" t="s">
        <v>201</v>
      </c>
      <c r="F395" s="7" t="s">
        <v>66</v>
      </c>
      <c r="G395" s="7">
        <v>6</v>
      </c>
      <c r="H395" s="10">
        <v>110</v>
      </c>
      <c r="I395" s="10">
        <v>52.8</v>
      </c>
      <c r="J395" s="10">
        <v>660</v>
      </c>
      <c r="K395" s="11">
        <v>0</v>
      </c>
      <c r="L395" s="10">
        <v>660</v>
      </c>
      <c r="M395" s="7" t="s">
        <v>26</v>
      </c>
      <c r="N395" s="32" t="s">
        <v>32</v>
      </c>
    </row>
    <row r="396" spans="1:14" x14ac:dyDescent="0.25">
      <c r="A396" s="29" t="s">
        <v>679</v>
      </c>
      <c r="B396" s="3">
        <v>45508</v>
      </c>
      <c r="C396" s="4" t="s">
        <v>558</v>
      </c>
      <c r="D396" s="2" t="s">
        <v>75</v>
      </c>
      <c r="E396" s="4" t="s">
        <v>675</v>
      </c>
      <c r="F396" s="2" t="s">
        <v>18</v>
      </c>
      <c r="G396" s="2">
        <v>5</v>
      </c>
      <c r="H396" s="5">
        <v>18</v>
      </c>
      <c r="I396" s="5">
        <v>9.36</v>
      </c>
      <c r="J396" s="5">
        <v>90</v>
      </c>
      <c r="K396" s="6">
        <v>5</v>
      </c>
      <c r="L396" s="5">
        <v>85.5</v>
      </c>
      <c r="M396" s="2" t="s">
        <v>26</v>
      </c>
      <c r="N396" s="31" t="s">
        <v>20</v>
      </c>
    </row>
    <row r="397" spans="1:14" x14ac:dyDescent="0.25">
      <c r="A397" s="30" t="s">
        <v>680</v>
      </c>
      <c r="B397" s="8">
        <v>45490</v>
      </c>
      <c r="C397" s="9" t="s">
        <v>28</v>
      </c>
      <c r="D397" s="7" t="s">
        <v>54</v>
      </c>
      <c r="E397" s="9" t="s">
        <v>79</v>
      </c>
      <c r="F397" s="7" t="s">
        <v>70</v>
      </c>
      <c r="G397" s="7">
        <v>11</v>
      </c>
      <c r="H397" s="10">
        <v>70</v>
      </c>
      <c r="I397" s="10">
        <v>31.5</v>
      </c>
      <c r="J397" s="10">
        <v>770</v>
      </c>
      <c r="K397" s="11">
        <v>5</v>
      </c>
      <c r="L397" s="10">
        <v>731.5</v>
      </c>
      <c r="M397" s="7" t="s">
        <v>26</v>
      </c>
      <c r="N397" s="32" t="s">
        <v>32</v>
      </c>
    </row>
    <row r="398" spans="1:14" x14ac:dyDescent="0.25">
      <c r="A398" s="29" t="s">
        <v>681</v>
      </c>
      <c r="B398" s="3">
        <v>45650</v>
      </c>
      <c r="C398" s="4" t="s">
        <v>244</v>
      </c>
      <c r="D398" s="2" t="s">
        <v>54</v>
      </c>
      <c r="E398" s="4" t="s">
        <v>76</v>
      </c>
      <c r="F398" s="2" t="s">
        <v>70</v>
      </c>
      <c r="G398" s="2">
        <v>14</v>
      </c>
      <c r="H398" s="5">
        <v>110</v>
      </c>
      <c r="I398" s="5">
        <v>49.5</v>
      </c>
      <c r="J398" s="5">
        <v>1540</v>
      </c>
      <c r="K398" s="6">
        <v>0</v>
      </c>
      <c r="L398" s="5">
        <v>1540</v>
      </c>
      <c r="M398" s="2" t="s">
        <v>19</v>
      </c>
      <c r="N398" s="31" t="s">
        <v>32</v>
      </c>
    </row>
    <row r="399" spans="1:14" x14ac:dyDescent="0.25">
      <c r="A399" s="30" t="s">
        <v>682</v>
      </c>
      <c r="B399" s="8">
        <v>45343</v>
      </c>
      <c r="C399" s="9" t="s">
        <v>187</v>
      </c>
      <c r="D399" s="7" t="s">
        <v>44</v>
      </c>
      <c r="E399" s="9" t="s">
        <v>151</v>
      </c>
      <c r="F399" s="7" t="s">
        <v>18</v>
      </c>
      <c r="G399" s="7">
        <v>10</v>
      </c>
      <c r="H399" s="10">
        <v>95</v>
      </c>
      <c r="I399" s="10">
        <v>49.4</v>
      </c>
      <c r="J399" s="10">
        <v>950</v>
      </c>
      <c r="K399" s="11">
        <v>20</v>
      </c>
      <c r="L399" s="10">
        <v>760</v>
      </c>
      <c r="M399" s="7" t="s">
        <v>26</v>
      </c>
      <c r="N399" s="32" t="s">
        <v>32</v>
      </c>
    </row>
    <row r="400" spans="1:14" x14ac:dyDescent="0.25">
      <c r="A400" s="29" t="s">
        <v>683</v>
      </c>
      <c r="B400" s="3">
        <v>45627</v>
      </c>
      <c r="C400" s="4" t="s">
        <v>684</v>
      </c>
      <c r="D400" s="2" t="s">
        <v>23</v>
      </c>
      <c r="E400" s="4" t="s">
        <v>60</v>
      </c>
      <c r="F400" s="2" t="s">
        <v>25</v>
      </c>
      <c r="G400" s="2">
        <v>6</v>
      </c>
      <c r="H400" s="5">
        <v>55</v>
      </c>
      <c r="I400" s="5">
        <v>27.5</v>
      </c>
      <c r="J400" s="5">
        <v>330</v>
      </c>
      <c r="K400" s="6">
        <v>5</v>
      </c>
      <c r="L400" s="5">
        <v>313.5</v>
      </c>
      <c r="M400" s="2" t="s">
        <v>26</v>
      </c>
      <c r="N400" s="31" t="s">
        <v>20</v>
      </c>
    </row>
    <row r="401" spans="1:14" x14ac:dyDescent="0.25">
      <c r="A401" s="30" t="s">
        <v>685</v>
      </c>
      <c r="B401" s="8">
        <v>45494</v>
      </c>
      <c r="C401" s="9" t="s">
        <v>584</v>
      </c>
      <c r="D401" s="7" t="s">
        <v>23</v>
      </c>
      <c r="E401" s="9" t="s">
        <v>50</v>
      </c>
      <c r="F401" s="7" t="s">
        <v>51</v>
      </c>
      <c r="G401" s="7">
        <v>16</v>
      </c>
      <c r="H401" s="10">
        <v>120</v>
      </c>
      <c r="I401" s="10">
        <v>72</v>
      </c>
      <c r="J401" s="10">
        <v>1920</v>
      </c>
      <c r="K401" s="11">
        <v>5</v>
      </c>
      <c r="L401" s="10">
        <v>1824</v>
      </c>
      <c r="M401" s="7" t="s">
        <v>19</v>
      </c>
      <c r="N401" s="32" t="s">
        <v>20</v>
      </c>
    </row>
    <row r="402" spans="1:14" x14ac:dyDescent="0.25">
      <c r="A402" s="29" t="s">
        <v>686</v>
      </c>
      <c r="B402" s="3">
        <v>45435</v>
      </c>
      <c r="C402" s="4" t="s">
        <v>687</v>
      </c>
      <c r="D402" s="2" t="s">
        <v>44</v>
      </c>
      <c r="E402" s="4" t="s">
        <v>45</v>
      </c>
      <c r="F402" s="2" t="s">
        <v>46</v>
      </c>
      <c r="G402" s="2">
        <v>8</v>
      </c>
      <c r="H402" s="5">
        <v>450</v>
      </c>
      <c r="I402" s="5">
        <v>247.5</v>
      </c>
      <c r="J402" s="5">
        <v>3600</v>
      </c>
      <c r="K402" s="6">
        <v>0</v>
      </c>
      <c r="L402" s="5">
        <v>3600</v>
      </c>
      <c r="M402" s="2" t="s">
        <v>26</v>
      </c>
      <c r="N402" s="31" t="s">
        <v>32</v>
      </c>
    </row>
    <row r="403" spans="1:14" x14ac:dyDescent="0.25">
      <c r="A403" s="30" t="s">
        <v>688</v>
      </c>
      <c r="B403" s="8">
        <v>45505</v>
      </c>
      <c r="C403" s="9" t="s">
        <v>161</v>
      </c>
      <c r="D403" s="7" t="s">
        <v>44</v>
      </c>
      <c r="E403" s="9" t="s">
        <v>76</v>
      </c>
      <c r="F403" s="7" t="s">
        <v>70</v>
      </c>
      <c r="G403" s="7">
        <v>7</v>
      </c>
      <c r="H403" s="10">
        <v>110</v>
      </c>
      <c r="I403" s="10">
        <v>49.5</v>
      </c>
      <c r="J403" s="10">
        <v>770</v>
      </c>
      <c r="K403" s="11">
        <v>15</v>
      </c>
      <c r="L403" s="10">
        <v>654.5</v>
      </c>
      <c r="M403" s="7" t="s">
        <v>26</v>
      </c>
      <c r="N403" s="32" t="s">
        <v>20</v>
      </c>
    </row>
    <row r="404" spans="1:14" x14ac:dyDescent="0.25">
      <c r="A404" s="29" t="s">
        <v>689</v>
      </c>
      <c r="B404" s="3">
        <v>45556</v>
      </c>
      <c r="C404" s="4" t="s">
        <v>362</v>
      </c>
      <c r="D404" s="2" t="s">
        <v>23</v>
      </c>
      <c r="E404" s="4" t="s">
        <v>45</v>
      </c>
      <c r="F404" s="2" t="s">
        <v>46</v>
      </c>
      <c r="G404" s="2">
        <v>17</v>
      </c>
      <c r="H404" s="5">
        <v>450</v>
      </c>
      <c r="I404" s="5">
        <v>247.5</v>
      </c>
      <c r="J404" s="5">
        <v>7650</v>
      </c>
      <c r="K404" s="6">
        <v>0</v>
      </c>
      <c r="L404" s="5">
        <v>7650</v>
      </c>
      <c r="M404" s="2" t="s">
        <v>26</v>
      </c>
      <c r="N404" s="31" t="s">
        <v>20</v>
      </c>
    </row>
    <row r="405" spans="1:14" x14ac:dyDescent="0.25">
      <c r="A405" s="30" t="s">
        <v>690</v>
      </c>
      <c r="B405" s="8">
        <v>45560</v>
      </c>
      <c r="C405" s="9" t="s">
        <v>352</v>
      </c>
      <c r="D405" s="7" t="s">
        <v>130</v>
      </c>
      <c r="E405" s="9" t="s">
        <v>69</v>
      </c>
      <c r="F405" s="7" t="s">
        <v>70</v>
      </c>
      <c r="G405" s="7">
        <v>7</v>
      </c>
      <c r="H405" s="10">
        <v>95</v>
      </c>
      <c r="I405" s="10">
        <v>42.75</v>
      </c>
      <c r="J405" s="10">
        <v>665</v>
      </c>
      <c r="K405" s="11">
        <v>5</v>
      </c>
      <c r="L405" s="10">
        <v>631.75</v>
      </c>
      <c r="M405" s="7" t="s">
        <v>19</v>
      </c>
      <c r="N405" s="32" t="s">
        <v>32</v>
      </c>
    </row>
    <row r="406" spans="1:14" x14ac:dyDescent="0.25">
      <c r="A406" s="29" t="s">
        <v>691</v>
      </c>
      <c r="B406" s="3">
        <v>45476</v>
      </c>
      <c r="C406" s="4" t="s">
        <v>293</v>
      </c>
      <c r="D406" s="2" t="s">
        <v>16</v>
      </c>
      <c r="E406" s="4" t="s">
        <v>164</v>
      </c>
      <c r="F406" s="2" t="s">
        <v>31</v>
      </c>
      <c r="G406" s="2">
        <v>12</v>
      </c>
      <c r="H406" s="5">
        <v>85</v>
      </c>
      <c r="I406" s="5">
        <v>39.950000000000003</v>
      </c>
      <c r="J406" s="5">
        <v>1020</v>
      </c>
      <c r="K406" s="6">
        <v>15</v>
      </c>
      <c r="L406" s="5">
        <v>867</v>
      </c>
      <c r="M406" s="2" t="s">
        <v>26</v>
      </c>
      <c r="N406" s="31" t="s">
        <v>32</v>
      </c>
    </row>
    <row r="407" spans="1:14" x14ac:dyDescent="0.25">
      <c r="A407" s="30" t="s">
        <v>692</v>
      </c>
      <c r="B407" s="8">
        <v>45307</v>
      </c>
      <c r="C407" s="9" t="s">
        <v>693</v>
      </c>
      <c r="D407" s="7" t="s">
        <v>59</v>
      </c>
      <c r="E407" s="9" t="s">
        <v>120</v>
      </c>
      <c r="F407" s="7" t="s">
        <v>66</v>
      </c>
      <c r="G407" s="7">
        <v>20</v>
      </c>
      <c r="H407" s="10">
        <v>45</v>
      </c>
      <c r="I407" s="10">
        <v>21.6</v>
      </c>
      <c r="J407" s="10">
        <v>900</v>
      </c>
      <c r="K407" s="11">
        <v>15</v>
      </c>
      <c r="L407" s="10">
        <v>765</v>
      </c>
      <c r="M407" s="7" t="s">
        <v>26</v>
      </c>
      <c r="N407" s="32" t="s">
        <v>20</v>
      </c>
    </row>
    <row r="408" spans="1:14" x14ac:dyDescent="0.25">
      <c r="A408" s="29" t="s">
        <v>694</v>
      </c>
      <c r="B408" s="3">
        <v>45471</v>
      </c>
      <c r="C408" s="4" t="s">
        <v>219</v>
      </c>
      <c r="D408" s="2" t="s">
        <v>16</v>
      </c>
      <c r="E408" s="4" t="s">
        <v>50</v>
      </c>
      <c r="F408" s="2" t="s">
        <v>51</v>
      </c>
      <c r="G408" s="2">
        <v>3</v>
      </c>
      <c r="H408" s="5">
        <v>120</v>
      </c>
      <c r="I408" s="5">
        <v>72</v>
      </c>
      <c r="J408" s="5">
        <v>360</v>
      </c>
      <c r="K408" s="6">
        <v>5</v>
      </c>
      <c r="L408" s="5">
        <v>342</v>
      </c>
      <c r="M408" s="2" t="s">
        <v>19</v>
      </c>
      <c r="N408" s="31" t="s">
        <v>20</v>
      </c>
    </row>
    <row r="409" spans="1:14" x14ac:dyDescent="0.25">
      <c r="A409" s="30" t="s">
        <v>695</v>
      </c>
      <c r="B409" s="8">
        <v>45401</v>
      </c>
      <c r="C409" s="9" t="s">
        <v>696</v>
      </c>
      <c r="D409" s="7" t="s">
        <v>75</v>
      </c>
      <c r="E409" s="9" t="s">
        <v>234</v>
      </c>
      <c r="F409" s="7" t="s">
        <v>46</v>
      </c>
      <c r="G409" s="7">
        <v>7</v>
      </c>
      <c r="H409" s="10">
        <v>30</v>
      </c>
      <c r="I409" s="10">
        <v>16.5</v>
      </c>
      <c r="J409" s="10">
        <v>210</v>
      </c>
      <c r="K409" s="11">
        <v>5</v>
      </c>
      <c r="L409" s="10">
        <v>199.5</v>
      </c>
      <c r="M409" s="7" t="s">
        <v>47</v>
      </c>
      <c r="N409" s="32" t="s">
        <v>32</v>
      </c>
    </row>
    <row r="410" spans="1:14" x14ac:dyDescent="0.25">
      <c r="A410" s="29" t="s">
        <v>697</v>
      </c>
      <c r="B410" s="3">
        <v>45359</v>
      </c>
      <c r="C410" s="4" t="s">
        <v>236</v>
      </c>
      <c r="D410" s="2" t="s">
        <v>117</v>
      </c>
      <c r="E410" s="4" t="s">
        <v>164</v>
      </c>
      <c r="F410" s="2" t="s">
        <v>31</v>
      </c>
      <c r="G410" s="2">
        <v>1</v>
      </c>
      <c r="H410" s="5">
        <v>85</v>
      </c>
      <c r="I410" s="5">
        <v>39.950000000000003</v>
      </c>
      <c r="J410" s="5">
        <v>85</v>
      </c>
      <c r="K410" s="6">
        <v>5</v>
      </c>
      <c r="L410" s="5">
        <v>80.75</v>
      </c>
      <c r="M410" s="2" t="s">
        <v>26</v>
      </c>
      <c r="N410" s="31" t="s">
        <v>32</v>
      </c>
    </row>
    <row r="411" spans="1:14" x14ac:dyDescent="0.25">
      <c r="A411" s="30" t="s">
        <v>698</v>
      </c>
      <c r="B411" s="8">
        <v>45655</v>
      </c>
      <c r="C411" s="9" t="s">
        <v>155</v>
      </c>
      <c r="D411" s="7" t="s">
        <v>29</v>
      </c>
      <c r="E411" s="9" t="s">
        <v>36</v>
      </c>
      <c r="F411" s="7" t="s">
        <v>31</v>
      </c>
      <c r="G411" s="7">
        <v>13</v>
      </c>
      <c r="H411" s="10">
        <v>65</v>
      </c>
      <c r="I411" s="10">
        <v>30.55</v>
      </c>
      <c r="J411" s="10">
        <v>845</v>
      </c>
      <c r="K411" s="11">
        <v>10</v>
      </c>
      <c r="L411" s="10">
        <v>760.5</v>
      </c>
      <c r="M411" s="7" t="s">
        <v>19</v>
      </c>
      <c r="N411" s="32" t="s">
        <v>32</v>
      </c>
    </row>
    <row r="412" spans="1:14" x14ac:dyDescent="0.25">
      <c r="A412" s="29" t="s">
        <v>699</v>
      </c>
      <c r="B412" s="3">
        <v>45558</v>
      </c>
      <c r="C412" s="4" t="s">
        <v>289</v>
      </c>
      <c r="D412" s="2" t="s">
        <v>29</v>
      </c>
      <c r="E412" s="4" t="s">
        <v>88</v>
      </c>
      <c r="F412" s="2" t="s">
        <v>46</v>
      </c>
      <c r="G412" s="2">
        <v>19</v>
      </c>
      <c r="H412" s="5">
        <v>55</v>
      </c>
      <c r="I412" s="5">
        <v>30.25</v>
      </c>
      <c r="J412" s="5">
        <v>1045</v>
      </c>
      <c r="K412" s="6">
        <v>0</v>
      </c>
      <c r="L412" s="5">
        <v>1045</v>
      </c>
      <c r="M412" s="2" t="s">
        <v>26</v>
      </c>
      <c r="N412" s="31" t="s">
        <v>20</v>
      </c>
    </row>
    <row r="413" spans="1:14" x14ac:dyDescent="0.25">
      <c r="A413" s="30" t="s">
        <v>700</v>
      </c>
      <c r="B413" s="8">
        <v>45623</v>
      </c>
      <c r="C413" s="9" t="s">
        <v>550</v>
      </c>
      <c r="D413" s="7" t="s">
        <v>16</v>
      </c>
      <c r="E413" s="9" t="s">
        <v>76</v>
      </c>
      <c r="F413" s="7" t="s">
        <v>70</v>
      </c>
      <c r="G413" s="7">
        <v>10</v>
      </c>
      <c r="H413" s="10">
        <v>110</v>
      </c>
      <c r="I413" s="10">
        <v>49.5</v>
      </c>
      <c r="J413" s="10">
        <v>1100</v>
      </c>
      <c r="K413" s="11">
        <v>0</v>
      </c>
      <c r="L413" s="10">
        <v>1100</v>
      </c>
      <c r="M413" s="7" t="s">
        <v>47</v>
      </c>
      <c r="N413" s="32" t="s">
        <v>32</v>
      </c>
    </row>
    <row r="414" spans="1:14" x14ac:dyDescent="0.25">
      <c r="A414" s="29" t="s">
        <v>701</v>
      </c>
      <c r="B414" s="3">
        <v>45458</v>
      </c>
      <c r="C414" s="4" t="s">
        <v>191</v>
      </c>
      <c r="D414" s="2" t="s">
        <v>16</v>
      </c>
      <c r="E414" s="4" t="s">
        <v>45</v>
      </c>
      <c r="F414" s="2" t="s">
        <v>46</v>
      </c>
      <c r="G414" s="2">
        <v>10</v>
      </c>
      <c r="H414" s="5">
        <v>450</v>
      </c>
      <c r="I414" s="5">
        <v>247.5</v>
      </c>
      <c r="J414" s="5">
        <v>4500</v>
      </c>
      <c r="K414" s="6">
        <v>5</v>
      </c>
      <c r="L414" s="5">
        <v>4275</v>
      </c>
      <c r="M414" s="2" t="s">
        <v>26</v>
      </c>
      <c r="N414" s="31" t="s">
        <v>32</v>
      </c>
    </row>
    <row r="415" spans="1:14" x14ac:dyDescent="0.25">
      <c r="A415" s="30" t="s">
        <v>702</v>
      </c>
      <c r="B415" s="8">
        <v>45599</v>
      </c>
      <c r="C415" s="9" t="s">
        <v>98</v>
      </c>
      <c r="D415" s="7" t="s">
        <v>130</v>
      </c>
      <c r="E415" s="9" t="s">
        <v>196</v>
      </c>
      <c r="F415" s="7" t="s">
        <v>25</v>
      </c>
      <c r="G415" s="7">
        <v>1</v>
      </c>
      <c r="H415" s="10">
        <v>75</v>
      </c>
      <c r="I415" s="10">
        <v>37.5</v>
      </c>
      <c r="J415" s="10">
        <v>75</v>
      </c>
      <c r="K415" s="11">
        <v>15</v>
      </c>
      <c r="L415" s="10">
        <v>63.75</v>
      </c>
      <c r="M415" s="7" t="s">
        <v>19</v>
      </c>
      <c r="N415" s="32" t="s">
        <v>32</v>
      </c>
    </row>
    <row r="416" spans="1:14" x14ac:dyDescent="0.25">
      <c r="A416" s="29" t="s">
        <v>703</v>
      </c>
      <c r="B416" s="3">
        <v>45490</v>
      </c>
      <c r="C416" s="4" t="s">
        <v>510</v>
      </c>
      <c r="D416" s="2" t="s">
        <v>117</v>
      </c>
      <c r="E416" s="4" t="s">
        <v>164</v>
      </c>
      <c r="F416" s="2" t="s">
        <v>31</v>
      </c>
      <c r="G416" s="2">
        <v>19</v>
      </c>
      <c r="H416" s="5">
        <v>85</v>
      </c>
      <c r="I416" s="5">
        <v>39.950000000000003</v>
      </c>
      <c r="J416" s="5">
        <v>1615</v>
      </c>
      <c r="K416" s="6">
        <v>5</v>
      </c>
      <c r="L416" s="5">
        <v>1534.25</v>
      </c>
      <c r="M416" s="2" t="s">
        <v>26</v>
      </c>
      <c r="N416" s="31" t="s">
        <v>32</v>
      </c>
    </row>
    <row r="417" spans="1:14" x14ac:dyDescent="0.25">
      <c r="A417" s="30" t="s">
        <v>704</v>
      </c>
      <c r="B417" s="8">
        <v>45535</v>
      </c>
      <c r="C417" s="9" t="s">
        <v>705</v>
      </c>
      <c r="D417" s="7" t="s">
        <v>54</v>
      </c>
      <c r="E417" s="9" t="s">
        <v>36</v>
      </c>
      <c r="F417" s="7" t="s">
        <v>31</v>
      </c>
      <c r="G417" s="7">
        <v>10</v>
      </c>
      <c r="H417" s="10">
        <v>65</v>
      </c>
      <c r="I417" s="10">
        <v>30.55</v>
      </c>
      <c r="J417" s="10">
        <v>650</v>
      </c>
      <c r="K417" s="11">
        <v>0</v>
      </c>
      <c r="L417" s="10">
        <v>650</v>
      </c>
      <c r="M417" s="7" t="s">
        <v>26</v>
      </c>
      <c r="N417" s="32" t="s">
        <v>32</v>
      </c>
    </row>
    <row r="418" spans="1:14" x14ac:dyDescent="0.25">
      <c r="A418" s="29" t="s">
        <v>706</v>
      </c>
      <c r="B418" s="3">
        <v>45341</v>
      </c>
      <c r="C418" s="4" t="s">
        <v>707</v>
      </c>
      <c r="D418" s="2" t="s">
        <v>16</v>
      </c>
      <c r="E418" s="4" t="s">
        <v>107</v>
      </c>
      <c r="F418" s="2" t="s">
        <v>25</v>
      </c>
      <c r="G418" s="2">
        <v>18</v>
      </c>
      <c r="H418" s="5">
        <v>90</v>
      </c>
      <c r="I418" s="5">
        <v>45</v>
      </c>
      <c r="J418" s="5">
        <v>1620</v>
      </c>
      <c r="K418" s="6">
        <v>0</v>
      </c>
      <c r="L418" s="5">
        <v>1620</v>
      </c>
      <c r="M418" s="2" t="s">
        <v>26</v>
      </c>
      <c r="N418" s="31" t="s">
        <v>32</v>
      </c>
    </row>
    <row r="419" spans="1:14" x14ac:dyDescent="0.25">
      <c r="A419" s="30" t="s">
        <v>708</v>
      </c>
      <c r="B419" s="8">
        <v>45473</v>
      </c>
      <c r="C419" s="9" t="s">
        <v>169</v>
      </c>
      <c r="D419" s="7" t="s">
        <v>29</v>
      </c>
      <c r="E419" s="9" t="s">
        <v>120</v>
      </c>
      <c r="F419" s="7" t="s">
        <v>66</v>
      </c>
      <c r="G419" s="7">
        <v>11</v>
      </c>
      <c r="H419" s="10">
        <v>45</v>
      </c>
      <c r="I419" s="10">
        <v>21.6</v>
      </c>
      <c r="J419" s="10">
        <v>495</v>
      </c>
      <c r="K419" s="11">
        <v>10</v>
      </c>
      <c r="L419" s="10">
        <v>445.5</v>
      </c>
      <c r="M419" s="7" t="s">
        <v>19</v>
      </c>
      <c r="N419" s="32" t="s">
        <v>20</v>
      </c>
    </row>
    <row r="420" spans="1:14" x14ac:dyDescent="0.25">
      <c r="A420" s="29" t="s">
        <v>709</v>
      </c>
      <c r="B420" s="3">
        <v>45319</v>
      </c>
      <c r="C420" s="4" t="s">
        <v>266</v>
      </c>
      <c r="D420" s="2" t="s">
        <v>117</v>
      </c>
      <c r="E420" s="4" t="s">
        <v>88</v>
      </c>
      <c r="F420" s="2" t="s">
        <v>46</v>
      </c>
      <c r="G420" s="2">
        <v>19</v>
      </c>
      <c r="H420" s="5">
        <v>55</v>
      </c>
      <c r="I420" s="5">
        <v>30.25</v>
      </c>
      <c r="J420" s="5">
        <v>1045</v>
      </c>
      <c r="K420" s="6">
        <v>0</v>
      </c>
      <c r="L420" s="5">
        <v>1045</v>
      </c>
      <c r="M420" s="2" t="s">
        <v>19</v>
      </c>
      <c r="N420" s="31" t="s">
        <v>32</v>
      </c>
    </row>
    <row r="421" spans="1:14" x14ac:dyDescent="0.25">
      <c r="A421" s="30" t="s">
        <v>710</v>
      </c>
      <c r="B421" s="8">
        <v>45640</v>
      </c>
      <c r="C421" s="9" t="s">
        <v>139</v>
      </c>
      <c r="D421" s="7" t="s">
        <v>29</v>
      </c>
      <c r="E421" s="9" t="s">
        <v>196</v>
      </c>
      <c r="F421" s="7" t="s">
        <v>25</v>
      </c>
      <c r="G421" s="7">
        <v>2</v>
      </c>
      <c r="H421" s="10">
        <v>75</v>
      </c>
      <c r="I421" s="10">
        <v>37.5</v>
      </c>
      <c r="J421" s="10">
        <v>150</v>
      </c>
      <c r="K421" s="11">
        <v>0</v>
      </c>
      <c r="L421" s="10">
        <v>150</v>
      </c>
      <c r="M421" s="7" t="s">
        <v>19</v>
      </c>
      <c r="N421" s="32" t="s">
        <v>20</v>
      </c>
    </row>
    <row r="422" spans="1:14" x14ac:dyDescent="0.25">
      <c r="A422" s="29" t="s">
        <v>711</v>
      </c>
      <c r="B422" s="3">
        <v>45526</v>
      </c>
      <c r="C422" s="4" t="s">
        <v>411</v>
      </c>
      <c r="D422" s="2" t="s">
        <v>130</v>
      </c>
      <c r="E422" s="4" t="s">
        <v>120</v>
      </c>
      <c r="F422" s="2" t="s">
        <v>66</v>
      </c>
      <c r="G422" s="2">
        <v>3</v>
      </c>
      <c r="H422" s="5">
        <v>45</v>
      </c>
      <c r="I422" s="5">
        <v>21.6</v>
      </c>
      <c r="J422" s="5">
        <v>135</v>
      </c>
      <c r="K422" s="6">
        <v>15</v>
      </c>
      <c r="L422" s="5">
        <v>114.75</v>
      </c>
      <c r="M422" s="2" t="s">
        <v>26</v>
      </c>
      <c r="N422" s="31" t="s">
        <v>32</v>
      </c>
    </row>
    <row r="423" spans="1:14" x14ac:dyDescent="0.25">
      <c r="A423" s="30" t="s">
        <v>712</v>
      </c>
      <c r="B423" s="8">
        <v>45321</v>
      </c>
      <c r="C423" s="9" t="s">
        <v>233</v>
      </c>
      <c r="D423" s="7" t="s">
        <v>16</v>
      </c>
      <c r="E423" s="9" t="s">
        <v>123</v>
      </c>
      <c r="F423" s="7" t="s">
        <v>18</v>
      </c>
      <c r="G423" s="7">
        <v>7</v>
      </c>
      <c r="H423" s="10">
        <v>75</v>
      </c>
      <c r="I423" s="10">
        <v>39</v>
      </c>
      <c r="J423" s="10">
        <v>525</v>
      </c>
      <c r="K423" s="11">
        <v>0</v>
      </c>
      <c r="L423" s="10">
        <v>525</v>
      </c>
      <c r="M423" s="7" t="s">
        <v>19</v>
      </c>
      <c r="N423" s="32" t="s">
        <v>20</v>
      </c>
    </row>
    <row r="424" spans="1:14" x14ac:dyDescent="0.25">
      <c r="A424" s="29" t="s">
        <v>713</v>
      </c>
      <c r="B424" s="3">
        <v>45606</v>
      </c>
      <c r="C424" s="4" t="s">
        <v>605</v>
      </c>
      <c r="D424" s="2" t="s">
        <v>29</v>
      </c>
      <c r="E424" s="4" t="s">
        <v>60</v>
      </c>
      <c r="F424" s="2" t="s">
        <v>25</v>
      </c>
      <c r="G424" s="2">
        <v>14</v>
      </c>
      <c r="H424" s="5">
        <v>55</v>
      </c>
      <c r="I424" s="5">
        <v>27.5</v>
      </c>
      <c r="J424" s="5">
        <v>770</v>
      </c>
      <c r="K424" s="6">
        <v>15</v>
      </c>
      <c r="L424" s="5">
        <v>654.5</v>
      </c>
      <c r="M424" s="2" t="s">
        <v>19</v>
      </c>
      <c r="N424" s="31" t="s">
        <v>20</v>
      </c>
    </row>
    <row r="425" spans="1:14" x14ac:dyDescent="0.25">
      <c r="A425" s="30" t="s">
        <v>714</v>
      </c>
      <c r="B425" s="8">
        <v>45483</v>
      </c>
      <c r="C425" s="9" t="s">
        <v>523</v>
      </c>
      <c r="D425" s="7" t="s">
        <v>54</v>
      </c>
      <c r="E425" s="9" t="s">
        <v>38</v>
      </c>
      <c r="F425" s="7" t="s">
        <v>18</v>
      </c>
      <c r="G425" s="7">
        <v>7</v>
      </c>
      <c r="H425" s="10">
        <v>30</v>
      </c>
      <c r="I425" s="10">
        <v>15.6</v>
      </c>
      <c r="J425" s="10">
        <v>210</v>
      </c>
      <c r="K425" s="11">
        <v>0</v>
      </c>
      <c r="L425" s="10">
        <v>210</v>
      </c>
      <c r="M425" s="7" t="s">
        <v>26</v>
      </c>
      <c r="N425" s="32" t="s">
        <v>32</v>
      </c>
    </row>
    <row r="426" spans="1:14" x14ac:dyDescent="0.25">
      <c r="A426" s="29" t="s">
        <v>715</v>
      </c>
      <c r="B426" s="3">
        <v>45647</v>
      </c>
      <c r="C426" s="4" t="s">
        <v>341</v>
      </c>
      <c r="D426" s="2" t="s">
        <v>130</v>
      </c>
      <c r="E426" s="4" t="s">
        <v>275</v>
      </c>
      <c r="F426" s="2" t="s">
        <v>51</v>
      </c>
      <c r="G426" s="2">
        <v>4</v>
      </c>
      <c r="H426" s="5">
        <v>95</v>
      </c>
      <c r="I426" s="5">
        <v>57</v>
      </c>
      <c r="J426" s="5">
        <v>380</v>
      </c>
      <c r="K426" s="6">
        <v>10</v>
      </c>
      <c r="L426" s="5">
        <v>342</v>
      </c>
      <c r="M426" s="2" t="s">
        <v>47</v>
      </c>
      <c r="N426" s="31" t="s">
        <v>20</v>
      </c>
    </row>
    <row r="427" spans="1:14" x14ac:dyDescent="0.25">
      <c r="A427" s="30" t="s">
        <v>716</v>
      </c>
      <c r="B427" s="8">
        <v>45315</v>
      </c>
      <c r="C427" s="9" t="s">
        <v>652</v>
      </c>
      <c r="D427" s="7" t="s">
        <v>59</v>
      </c>
      <c r="E427" s="9" t="s">
        <v>275</v>
      </c>
      <c r="F427" s="7" t="s">
        <v>51</v>
      </c>
      <c r="G427" s="7">
        <v>17</v>
      </c>
      <c r="H427" s="10">
        <v>95</v>
      </c>
      <c r="I427" s="10">
        <v>57</v>
      </c>
      <c r="J427" s="10">
        <v>1615</v>
      </c>
      <c r="K427" s="11">
        <v>20</v>
      </c>
      <c r="L427" s="10">
        <v>1292</v>
      </c>
      <c r="M427" s="7" t="s">
        <v>26</v>
      </c>
      <c r="N427" s="32" t="s">
        <v>20</v>
      </c>
    </row>
    <row r="428" spans="1:14" x14ac:dyDescent="0.25">
      <c r="A428" s="29" t="s">
        <v>717</v>
      </c>
      <c r="B428" s="3">
        <v>45542</v>
      </c>
      <c r="C428" s="4" t="s">
        <v>718</v>
      </c>
      <c r="D428" s="2" t="s">
        <v>130</v>
      </c>
      <c r="E428" s="4" t="s">
        <v>50</v>
      </c>
      <c r="F428" s="2" t="s">
        <v>51</v>
      </c>
      <c r="G428" s="2">
        <v>13</v>
      </c>
      <c r="H428" s="5">
        <v>120</v>
      </c>
      <c r="I428" s="5">
        <v>72</v>
      </c>
      <c r="J428" s="5">
        <v>1560</v>
      </c>
      <c r="K428" s="6">
        <v>0</v>
      </c>
      <c r="L428" s="5">
        <v>1560</v>
      </c>
      <c r="M428" s="2" t="s">
        <v>26</v>
      </c>
      <c r="N428" s="31" t="s">
        <v>20</v>
      </c>
    </row>
    <row r="429" spans="1:14" x14ac:dyDescent="0.25">
      <c r="A429" s="30" t="s">
        <v>719</v>
      </c>
      <c r="B429" s="8">
        <v>45303</v>
      </c>
      <c r="C429" s="9" t="s">
        <v>407</v>
      </c>
      <c r="D429" s="7" t="s">
        <v>130</v>
      </c>
      <c r="E429" s="9" t="s">
        <v>76</v>
      </c>
      <c r="F429" s="7" t="s">
        <v>70</v>
      </c>
      <c r="G429" s="7">
        <v>4</v>
      </c>
      <c r="H429" s="10">
        <v>110</v>
      </c>
      <c r="I429" s="10">
        <v>49.5</v>
      </c>
      <c r="J429" s="10">
        <v>440</v>
      </c>
      <c r="K429" s="11">
        <v>10</v>
      </c>
      <c r="L429" s="10">
        <v>396</v>
      </c>
      <c r="M429" s="7" t="s">
        <v>26</v>
      </c>
      <c r="N429" s="32" t="s">
        <v>32</v>
      </c>
    </row>
    <row r="430" spans="1:14" x14ac:dyDescent="0.25">
      <c r="A430" s="29" t="s">
        <v>720</v>
      </c>
      <c r="B430" s="3">
        <v>45619</v>
      </c>
      <c r="C430" s="4" t="s">
        <v>150</v>
      </c>
      <c r="D430" s="2" t="s">
        <v>117</v>
      </c>
      <c r="E430" s="4" t="s">
        <v>229</v>
      </c>
      <c r="F430" s="2" t="s">
        <v>51</v>
      </c>
      <c r="G430" s="2">
        <v>2</v>
      </c>
      <c r="H430" s="5">
        <v>850</v>
      </c>
      <c r="I430" s="5">
        <v>510</v>
      </c>
      <c r="J430" s="5">
        <v>1700</v>
      </c>
      <c r="K430" s="6">
        <v>0</v>
      </c>
      <c r="L430" s="5">
        <v>1700</v>
      </c>
      <c r="M430" s="2" t="s">
        <v>19</v>
      </c>
      <c r="N430" s="31" t="s">
        <v>20</v>
      </c>
    </row>
    <row r="431" spans="1:14" x14ac:dyDescent="0.25">
      <c r="A431" s="30" t="s">
        <v>721</v>
      </c>
      <c r="B431" s="8">
        <v>45519</v>
      </c>
      <c r="C431" s="9" t="s">
        <v>722</v>
      </c>
      <c r="D431" s="7" t="s">
        <v>54</v>
      </c>
      <c r="E431" s="9" t="s">
        <v>24</v>
      </c>
      <c r="F431" s="7" t="s">
        <v>25</v>
      </c>
      <c r="G431" s="7">
        <v>9</v>
      </c>
      <c r="H431" s="10">
        <v>40</v>
      </c>
      <c r="I431" s="10">
        <v>20</v>
      </c>
      <c r="J431" s="10">
        <v>360</v>
      </c>
      <c r="K431" s="11">
        <v>15</v>
      </c>
      <c r="L431" s="10">
        <v>306</v>
      </c>
      <c r="M431" s="7" t="s">
        <v>19</v>
      </c>
      <c r="N431" s="32" t="s">
        <v>32</v>
      </c>
    </row>
    <row r="432" spans="1:14" x14ac:dyDescent="0.25">
      <c r="A432" s="29" t="s">
        <v>723</v>
      </c>
      <c r="B432" s="3">
        <v>45507</v>
      </c>
      <c r="C432" s="4" t="s">
        <v>516</v>
      </c>
      <c r="D432" s="2" t="s">
        <v>54</v>
      </c>
      <c r="E432" s="4" t="s">
        <v>164</v>
      </c>
      <c r="F432" s="2" t="s">
        <v>31</v>
      </c>
      <c r="G432" s="2">
        <v>9</v>
      </c>
      <c r="H432" s="5">
        <v>85</v>
      </c>
      <c r="I432" s="5">
        <v>39.950000000000003</v>
      </c>
      <c r="J432" s="5">
        <v>765</v>
      </c>
      <c r="K432" s="6">
        <v>0</v>
      </c>
      <c r="L432" s="5">
        <v>765</v>
      </c>
      <c r="M432" s="2" t="s">
        <v>26</v>
      </c>
      <c r="N432" s="31" t="s">
        <v>32</v>
      </c>
    </row>
    <row r="433" spans="1:14" x14ac:dyDescent="0.25">
      <c r="A433" s="30" t="s">
        <v>724</v>
      </c>
      <c r="B433" s="8">
        <v>45608</v>
      </c>
      <c r="C433" s="9" t="s">
        <v>224</v>
      </c>
      <c r="D433" s="7" t="s">
        <v>44</v>
      </c>
      <c r="E433" s="9" t="s">
        <v>198</v>
      </c>
      <c r="F433" s="7" t="s">
        <v>18</v>
      </c>
      <c r="G433" s="7">
        <v>4</v>
      </c>
      <c r="H433" s="10">
        <v>35</v>
      </c>
      <c r="I433" s="10">
        <v>18.2</v>
      </c>
      <c r="J433" s="10">
        <v>140</v>
      </c>
      <c r="K433" s="11">
        <v>15</v>
      </c>
      <c r="L433" s="10">
        <v>119</v>
      </c>
      <c r="M433" s="7" t="s">
        <v>19</v>
      </c>
      <c r="N433" s="32" t="s">
        <v>20</v>
      </c>
    </row>
    <row r="434" spans="1:14" x14ac:dyDescent="0.25">
      <c r="A434" s="29" t="s">
        <v>725</v>
      </c>
      <c r="B434" s="3">
        <v>45559</v>
      </c>
      <c r="C434" s="4" t="s">
        <v>605</v>
      </c>
      <c r="D434" s="2" t="s">
        <v>29</v>
      </c>
      <c r="E434" s="4" t="s">
        <v>120</v>
      </c>
      <c r="F434" s="2" t="s">
        <v>66</v>
      </c>
      <c r="G434" s="2">
        <v>10</v>
      </c>
      <c r="H434" s="5">
        <v>45</v>
      </c>
      <c r="I434" s="5">
        <v>21.6</v>
      </c>
      <c r="J434" s="5">
        <v>450</v>
      </c>
      <c r="K434" s="6">
        <v>0</v>
      </c>
      <c r="L434" s="5">
        <v>450</v>
      </c>
      <c r="M434" s="2" t="s">
        <v>47</v>
      </c>
      <c r="N434" s="31" t="s">
        <v>20</v>
      </c>
    </row>
    <row r="435" spans="1:14" x14ac:dyDescent="0.25">
      <c r="A435" s="30" t="s">
        <v>726</v>
      </c>
      <c r="B435" s="8">
        <v>45538</v>
      </c>
      <c r="C435" s="9" t="s">
        <v>538</v>
      </c>
      <c r="D435" s="7" t="s">
        <v>23</v>
      </c>
      <c r="E435" s="9" t="s">
        <v>50</v>
      </c>
      <c r="F435" s="7" t="s">
        <v>51</v>
      </c>
      <c r="G435" s="7">
        <v>1</v>
      </c>
      <c r="H435" s="10">
        <v>120</v>
      </c>
      <c r="I435" s="10">
        <v>72</v>
      </c>
      <c r="J435" s="10">
        <v>120</v>
      </c>
      <c r="K435" s="11">
        <v>0</v>
      </c>
      <c r="L435" s="10">
        <v>120</v>
      </c>
      <c r="M435" s="7" t="s">
        <v>26</v>
      </c>
      <c r="N435" s="32" t="s">
        <v>32</v>
      </c>
    </row>
    <row r="436" spans="1:14" x14ac:dyDescent="0.25">
      <c r="A436" s="29" t="s">
        <v>727</v>
      </c>
      <c r="B436" s="3">
        <v>45338</v>
      </c>
      <c r="C436" s="4" t="s">
        <v>584</v>
      </c>
      <c r="D436" s="2" t="s">
        <v>44</v>
      </c>
      <c r="E436" s="4" t="s">
        <v>88</v>
      </c>
      <c r="F436" s="2" t="s">
        <v>46</v>
      </c>
      <c r="G436" s="2">
        <v>4</v>
      </c>
      <c r="H436" s="5">
        <v>55</v>
      </c>
      <c r="I436" s="5">
        <v>30.25</v>
      </c>
      <c r="J436" s="5">
        <v>220</v>
      </c>
      <c r="K436" s="6">
        <v>5</v>
      </c>
      <c r="L436" s="5">
        <v>209</v>
      </c>
      <c r="M436" s="2" t="s">
        <v>47</v>
      </c>
      <c r="N436" s="31" t="s">
        <v>32</v>
      </c>
    </row>
    <row r="437" spans="1:14" x14ac:dyDescent="0.25">
      <c r="A437" s="30" t="s">
        <v>728</v>
      </c>
      <c r="B437" s="8">
        <v>45529</v>
      </c>
      <c r="C437" s="9" t="s">
        <v>729</v>
      </c>
      <c r="D437" s="7" t="s">
        <v>130</v>
      </c>
      <c r="E437" s="9" t="s">
        <v>93</v>
      </c>
      <c r="F437" s="7" t="s">
        <v>18</v>
      </c>
      <c r="G437" s="7">
        <v>2</v>
      </c>
      <c r="H437" s="10">
        <v>85</v>
      </c>
      <c r="I437" s="10">
        <v>44.2</v>
      </c>
      <c r="J437" s="10">
        <v>170</v>
      </c>
      <c r="K437" s="11">
        <v>5</v>
      </c>
      <c r="L437" s="10">
        <v>161.5</v>
      </c>
      <c r="M437" s="7" t="s">
        <v>26</v>
      </c>
      <c r="N437" s="32" t="s">
        <v>20</v>
      </c>
    </row>
    <row r="438" spans="1:14" x14ac:dyDescent="0.25">
      <c r="A438" s="29" t="s">
        <v>730</v>
      </c>
      <c r="B438" s="3">
        <v>45351</v>
      </c>
      <c r="C438" s="4" t="s">
        <v>731</v>
      </c>
      <c r="D438" s="2" t="s">
        <v>23</v>
      </c>
      <c r="E438" s="4" t="s">
        <v>17</v>
      </c>
      <c r="F438" s="2" t="s">
        <v>18</v>
      </c>
      <c r="G438" s="2">
        <v>5</v>
      </c>
      <c r="H438" s="5">
        <v>20</v>
      </c>
      <c r="I438" s="5">
        <v>10.4</v>
      </c>
      <c r="J438" s="5">
        <v>100</v>
      </c>
      <c r="K438" s="6">
        <v>0</v>
      </c>
      <c r="L438" s="5">
        <v>100</v>
      </c>
      <c r="M438" s="2" t="s">
        <v>26</v>
      </c>
      <c r="N438" s="31" t="s">
        <v>20</v>
      </c>
    </row>
    <row r="439" spans="1:14" x14ac:dyDescent="0.25">
      <c r="A439" s="30" t="s">
        <v>732</v>
      </c>
      <c r="B439" s="8">
        <v>45339</v>
      </c>
      <c r="C439" s="9" t="s">
        <v>733</v>
      </c>
      <c r="D439" s="7" t="s">
        <v>130</v>
      </c>
      <c r="E439" s="9" t="s">
        <v>275</v>
      </c>
      <c r="F439" s="7" t="s">
        <v>51</v>
      </c>
      <c r="G439" s="7">
        <v>4</v>
      </c>
      <c r="H439" s="10">
        <v>95</v>
      </c>
      <c r="I439" s="10">
        <v>57</v>
      </c>
      <c r="J439" s="10">
        <v>380</v>
      </c>
      <c r="K439" s="11">
        <v>10</v>
      </c>
      <c r="L439" s="10">
        <v>342</v>
      </c>
      <c r="M439" s="7" t="s">
        <v>47</v>
      </c>
      <c r="N439" s="32" t="s">
        <v>20</v>
      </c>
    </row>
    <row r="440" spans="1:14" x14ac:dyDescent="0.25">
      <c r="A440" s="29" t="s">
        <v>734</v>
      </c>
      <c r="B440" s="3">
        <v>45536</v>
      </c>
      <c r="C440" s="4" t="s">
        <v>279</v>
      </c>
      <c r="D440" s="2" t="s">
        <v>130</v>
      </c>
      <c r="E440" s="4" t="s">
        <v>45</v>
      </c>
      <c r="F440" s="2" t="s">
        <v>46</v>
      </c>
      <c r="G440" s="2">
        <v>4</v>
      </c>
      <c r="H440" s="5">
        <v>450</v>
      </c>
      <c r="I440" s="5">
        <v>247.5</v>
      </c>
      <c r="J440" s="5">
        <v>1800</v>
      </c>
      <c r="K440" s="6">
        <v>0</v>
      </c>
      <c r="L440" s="5">
        <v>1800</v>
      </c>
      <c r="M440" s="2" t="s">
        <v>19</v>
      </c>
      <c r="N440" s="31" t="s">
        <v>32</v>
      </c>
    </row>
    <row r="441" spans="1:14" x14ac:dyDescent="0.25">
      <c r="A441" s="30" t="s">
        <v>735</v>
      </c>
      <c r="B441" s="8">
        <v>45505</v>
      </c>
      <c r="C441" s="9" t="s">
        <v>358</v>
      </c>
      <c r="D441" s="7" t="s">
        <v>117</v>
      </c>
      <c r="E441" s="9" t="s">
        <v>79</v>
      </c>
      <c r="F441" s="7" t="s">
        <v>70</v>
      </c>
      <c r="G441" s="7">
        <v>15</v>
      </c>
      <c r="H441" s="10">
        <v>70</v>
      </c>
      <c r="I441" s="10">
        <v>31.5</v>
      </c>
      <c r="J441" s="10">
        <v>1050</v>
      </c>
      <c r="K441" s="11">
        <v>0</v>
      </c>
      <c r="L441" s="10">
        <v>1050</v>
      </c>
      <c r="M441" s="7" t="s">
        <v>26</v>
      </c>
      <c r="N441" s="32" t="s">
        <v>32</v>
      </c>
    </row>
    <row r="442" spans="1:14" x14ac:dyDescent="0.25">
      <c r="A442" s="29" t="s">
        <v>736</v>
      </c>
      <c r="B442" s="3">
        <v>45642</v>
      </c>
      <c r="C442" s="4" t="s">
        <v>401</v>
      </c>
      <c r="D442" s="2" t="s">
        <v>130</v>
      </c>
      <c r="E442" s="4" t="s">
        <v>88</v>
      </c>
      <c r="F442" s="2" t="s">
        <v>46</v>
      </c>
      <c r="G442" s="2">
        <v>16</v>
      </c>
      <c r="H442" s="5">
        <v>55</v>
      </c>
      <c r="I442" s="5">
        <v>30.25</v>
      </c>
      <c r="J442" s="5">
        <v>880</v>
      </c>
      <c r="K442" s="6">
        <v>15</v>
      </c>
      <c r="L442" s="5">
        <v>748</v>
      </c>
      <c r="M442" s="2" t="s">
        <v>47</v>
      </c>
      <c r="N442" s="31" t="s">
        <v>32</v>
      </c>
    </row>
    <row r="443" spans="1:14" x14ac:dyDescent="0.25">
      <c r="A443" s="30" t="s">
        <v>737</v>
      </c>
      <c r="B443" s="8">
        <v>45425</v>
      </c>
      <c r="C443" s="9" t="s">
        <v>738</v>
      </c>
      <c r="D443" s="7" t="s">
        <v>23</v>
      </c>
      <c r="E443" s="9" t="s">
        <v>36</v>
      </c>
      <c r="F443" s="7" t="s">
        <v>31</v>
      </c>
      <c r="G443" s="7">
        <v>17</v>
      </c>
      <c r="H443" s="10">
        <v>65</v>
      </c>
      <c r="I443" s="10">
        <v>30.55</v>
      </c>
      <c r="J443" s="10">
        <v>1105</v>
      </c>
      <c r="K443" s="11">
        <v>5</v>
      </c>
      <c r="L443" s="10">
        <v>1049.75</v>
      </c>
      <c r="M443" s="7" t="s">
        <v>26</v>
      </c>
      <c r="N443" s="32" t="s">
        <v>32</v>
      </c>
    </row>
    <row r="444" spans="1:14" x14ac:dyDescent="0.25">
      <c r="A444" s="29" t="s">
        <v>739</v>
      </c>
      <c r="B444" s="3">
        <v>45559</v>
      </c>
      <c r="C444" s="4" t="s">
        <v>740</v>
      </c>
      <c r="D444" s="2" t="s">
        <v>117</v>
      </c>
      <c r="E444" s="4" t="s">
        <v>30</v>
      </c>
      <c r="F444" s="2" t="s">
        <v>31</v>
      </c>
      <c r="G444" s="2">
        <v>4</v>
      </c>
      <c r="H444" s="5">
        <v>72</v>
      </c>
      <c r="I444" s="5">
        <v>33.840000000000003</v>
      </c>
      <c r="J444" s="5">
        <v>288</v>
      </c>
      <c r="K444" s="6">
        <v>10</v>
      </c>
      <c r="L444" s="5">
        <v>259.2</v>
      </c>
      <c r="M444" s="2" t="s">
        <v>19</v>
      </c>
      <c r="N444" s="31" t="s">
        <v>32</v>
      </c>
    </row>
    <row r="445" spans="1:14" x14ac:dyDescent="0.25">
      <c r="A445" s="30" t="s">
        <v>741</v>
      </c>
      <c r="B445" s="8">
        <v>45638</v>
      </c>
      <c r="C445" s="9" t="s">
        <v>742</v>
      </c>
      <c r="D445" s="7" t="s">
        <v>130</v>
      </c>
      <c r="E445" s="9" t="s">
        <v>36</v>
      </c>
      <c r="F445" s="7" t="s">
        <v>31</v>
      </c>
      <c r="G445" s="7">
        <v>18</v>
      </c>
      <c r="H445" s="10">
        <v>65</v>
      </c>
      <c r="I445" s="10">
        <v>30.55</v>
      </c>
      <c r="J445" s="10">
        <v>1170</v>
      </c>
      <c r="K445" s="11">
        <v>0</v>
      </c>
      <c r="L445" s="10">
        <v>1170</v>
      </c>
      <c r="M445" s="7" t="s">
        <v>26</v>
      </c>
      <c r="N445" s="32" t="s">
        <v>20</v>
      </c>
    </row>
    <row r="446" spans="1:14" x14ac:dyDescent="0.25">
      <c r="A446" s="29" t="s">
        <v>743</v>
      </c>
      <c r="B446" s="3">
        <v>45532</v>
      </c>
      <c r="C446" s="4" t="s">
        <v>298</v>
      </c>
      <c r="D446" s="2" t="s">
        <v>130</v>
      </c>
      <c r="E446" s="4" t="s">
        <v>45</v>
      </c>
      <c r="F446" s="2" t="s">
        <v>46</v>
      </c>
      <c r="G446" s="2">
        <v>3</v>
      </c>
      <c r="H446" s="5">
        <v>450</v>
      </c>
      <c r="I446" s="5">
        <v>247.5</v>
      </c>
      <c r="J446" s="5">
        <v>1350</v>
      </c>
      <c r="K446" s="6">
        <v>15</v>
      </c>
      <c r="L446" s="5">
        <v>1147.5</v>
      </c>
      <c r="M446" s="2" t="s">
        <v>47</v>
      </c>
      <c r="N446" s="31" t="s">
        <v>32</v>
      </c>
    </row>
    <row r="447" spans="1:14" x14ac:dyDescent="0.25">
      <c r="A447" s="30" t="s">
        <v>744</v>
      </c>
      <c r="B447" s="8">
        <v>45551</v>
      </c>
      <c r="C447" s="9" t="s">
        <v>95</v>
      </c>
      <c r="D447" s="7" t="s">
        <v>29</v>
      </c>
      <c r="E447" s="9" t="s">
        <v>82</v>
      </c>
      <c r="F447" s="7" t="s">
        <v>66</v>
      </c>
      <c r="G447" s="7">
        <v>13</v>
      </c>
      <c r="H447" s="10">
        <v>80</v>
      </c>
      <c r="I447" s="10">
        <v>38.4</v>
      </c>
      <c r="J447" s="10">
        <v>1040</v>
      </c>
      <c r="K447" s="11">
        <v>5</v>
      </c>
      <c r="L447" s="10">
        <v>988</v>
      </c>
      <c r="M447" s="7" t="s">
        <v>47</v>
      </c>
      <c r="N447" s="32" t="s">
        <v>20</v>
      </c>
    </row>
    <row r="448" spans="1:14" x14ac:dyDescent="0.25">
      <c r="A448" s="29" t="s">
        <v>745</v>
      </c>
      <c r="B448" s="3">
        <v>45337</v>
      </c>
      <c r="C448" s="4" t="s">
        <v>328</v>
      </c>
      <c r="D448" s="2" t="s">
        <v>59</v>
      </c>
      <c r="E448" s="4" t="s">
        <v>45</v>
      </c>
      <c r="F448" s="2" t="s">
        <v>46</v>
      </c>
      <c r="G448" s="2">
        <v>11</v>
      </c>
      <c r="H448" s="5">
        <v>450</v>
      </c>
      <c r="I448" s="5">
        <v>247.5</v>
      </c>
      <c r="J448" s="5">
        <v>4950</v>
      </c>
      <c r="K448" s="6">
        <v>0</v>
      </c>
      <c r="L448" s="5">
        <v>4950</v>
      </c>
      <c r="M448" s="2" t="s">
        <v>26</v>
      </c>
      <c r="N448" s="31" t="s">
        <v>32</v>
      </c>
    </row>
    <row r="449" spans="1:14" x14ac:dyDescent="0.25">
      <c r="A449" s="30" t="s">
        <v>746</v>
      </c>
      <c r="B449" s="8">
        <v>45498</v>
      </c>
      <c r="C449" s="9" t="s">
        <v>403</v>
      </c>
      <c r="D449" s="7" t="s">
        <v>54</v>
      </c>
      <c r="E449" s="9" t="s">
        <v>24</v>
      </c>
      <c r="F449" s="7" t="s">
        <v>25</v>
      </c>
      <c r="G449" s="7">
        <v>18</v>
      </c>
      <c r="H449" s="10">
        <v>40</v>
      </c>
      <c r="I449" s="10">
        <v>20</v>
      </c>
      <c r="J449" s="10">
        <v>720</v>
      </c>
      <c r="K449" s="11">
        <v>0</v>
      </c>
      <c r="L449" s="10">
        <v>720</v>
      </c>
      <c r="M449" s="7" t="s">
        <v>26</v>
      </c>
      <c r="N449" s="32" t="s">
        <v>32</v>
      </c>
    </row>
    <row r="450" spans="1:14" x14ac:dyDescent="0.25">
      <c r="A450" s="29" t="s">
        <v>747</v>
      </c>
      <c r="B450" s="3">
        <v>45447</v>
      </c>
      <c r="C450" s="4" t="s">
        <v>53</v>
      </c>
      <c r="D450" s="2" t="s">
        <v>75</v>
      </c>
      <c r="E450" s="4" t="s">
        <v>76</v>
      </c>
      <c r="F450" s="2" t="s">
        <v>70</v>
      </c>
      <c r="G450" s="2">
        <v>15</v>
      </c>
      <c r="H450" s="5">
        <v>110</v>
      </c>
      <c r="I450" s="5">
        <v>49.5</v>
      </c>
      <c r="J450" s="5">
        <v>1650</v>
      </c>
      <c r="K450" s="6">
        <v>10</v>
      </c>
      <c r="L450" s="5">
        <v>1485</v>
      </c>
      <c r="M450" s="2" t="s">
        <v>19</v>
      </c>
      <c r="N450" s="31" t="s">
        <v>20</v>
      </c>
    </row>
    <row r="451" spans="1:14" x14ac:dyDescent="0.25">
      <c r="A451" s="30" t="s">
        <v>748</v>
      </c>
      <c r="B451" s="8">
        <v>45524</v>
      </c>
      <c r="C451" s="9" t="s">
        <v>626</v>
      </c>
      <c r="D451" s="7" t="s">
        <v>35</v>
      </c>
      <c r="E451" s="9" t="s">
        <v>96</v>
      </c>
      <c r="F451" s="7" t="s">
        <v>51</v>
      </c>
      <c r="G451" s="7">
        <v>15</v>
      </c>
      <c r="H451" s="10">
        <v>60</v>
      </c>
      <c r="I451" s="10">
        <v>36</v>
      </c>
      <c r="J451" s="10">
        <v>900</v>
      </c>
      <c r="K451" s="11">
        <v>0</v>
      </c>
      <c r="L451" s="10">
        <v>900</v>
      </c>
      <c r="M451" s="7" t="s">
        <v>26</v>
      </c>
      <c r="N451" s="32" t="s">
        <v>20</v>
      </c>
    </row>
    <row r="452" spans="1:14" x14ac:dyDescent="0.25">
      <c r="A452" s="29" t="s">
        <v>749</v>
      </c>
      <c r="B452" s="3">
        <v>45473</v>
      </c>
      <c r="C452" s="4" t="s">
        <v>454</v>
      </c>
      <c r="D452" s="2" t="s">
        <v>16</v>
      </c>
      <c r="E452" s="4" t="s">
        <v>88</v>
      </c>
      <c r="F452" s="2" t="s">
        <v>46</v>
      </c>
      <c r="G452" s="2">
        <v>18</v>
      </c>
      <c r="H452" s="5">
        <v>55</v>
      </c>
      <c r="I452" s="5">
        <v>30.25</v>
      </c>
      <c r="J452" s="5">
        <v>990</v>
      </c>
      <c r="K452" s="6">
        <v>20</v>
      </c>
      <c r="L452" s="5">
        <v>792</v>
      </c>
      <c r="M452" s="2" t="s">
        <v>19</v>
      </c>
      <c r="N452" s="31" t="s">
        <v>32</v>
      </c>
    </row>
    <row r="453" spans="1:14" x14ac:dyDescent="0.25">
      <c r="A453" s="30" t="s">
        <v>750</v>
      </c>
      <c r="B453" s="8">
        <v>45363</v>
      </c>
      <c r="C453" s="9" t="s">
        <v>591</v>
      </c>
      <c r="D453" s="7" t="s">
        <v>29</v>
      </c>
      <c r="E453" s="9" t="s">
        <v>88</v>
      </c>
      <c r="F453" s="7" t="s">
        <v>46</v>
      </c>
      <c r="G453" s="7">
        <v>4</v>
      </c>
      <c r="H453" s="10">
        <v>55</v>
      </c>
      <c r="I453" s="10">
        <v>30.25</v>
      </c>
      <c r="J453" s="10">
        <v>220</v>
      </c>
      <c r="K453" s="11">
        <v>5</v>
      </c>
      <c r="L453" s="10">
        <v>209</v>
      </c>
      <c r="M453" s="7" t="s">
        <v>19</v>
      </c>
      <c r="N453" s="32" t="s">
        <v>32</v>
      </c>
    </row>
    <row r="454" spans="1:14" x14ac:dyDescent="0.25">
      <c r="A454" s="29" t="s">
        <v>751</v>
      </c>
      <c r="B454" s="3">
        <v>45526</v>
      </c>
      <c r="C454" s="4" t="s">
        <v>481</v>
      </c>
      <c r="D454" s="2" t="s">
        <v>35</v>
      </c>
      <c r="E454" s="4" t="s">
        <v>234</v>
      </c>
      <c r="F454" s="2" t="s">
        <v>46</v>
      </c>
      <c r="G454" s="2">
        <v>4</v>
      </c>
      <c r="H454" s="5">
        <v>30</v>
      </c>
      <c r="I454" s="5">
        <v>16.5</v>
      </c>
      <c r="J454" s="5">
        <v>120</v>
      </c>
      <c r="K454" s="6">
        <v>10</v>
      </c>
      <c r="L454" s="5">
        <v>108</v>
      </c>
      <c r="M454" s="2" t="s">
        <v>26</v>
      </c>
      <c r="N454" s="31" t="s">
        <v>20</v>
      </c>
    </row>
    <row r="455" spans="1:14" x14ac:dyDescent="0.25">
      <c r="A455" s="30" t="s">
        <v>752</v>
      </c>
      <c r="B455" s="8">
        <v>45522</v>
      </c>
      <c r="C455" s="9" t="s">
        <v>321</v>
      </c>
      <c r="D455" s="7" t="s">
        <v>59</v>
      </c>
      <c r="E455" s="9" t="s">
        <v>107</v>
      </c>
      <c r="F455" s="7" t="s">
        <v>25</v>
      </c>
      <c r="G455" s="7">
        <v>1</v>
      </c>
      <c r="H455" s="10">
        <v>90</v>
      </c>
      <c r="I455" s="10">
        <v>45</v>
      </c>
      <c r="J455" s="10">
        <v>90</v>
      </c>
      <c r="K455" s="11">
        <v>20</v>
      </c>
      <c r="L455" s="10">
        <v>72</v>
      </c>
      <c r="M455" s="7" t="s">
        <v>47</v>
      </c>
      <c r="N455" s="32" t="s">
        <v>32</v>
      </c>
    </row>
    <row r="456" spans="1:14" x14ac:dyDescent="0.25">
      <c r="A456" s="29" t="s">
        <v>753</v>
      </c>
      <c r="B456" s="3">
        <v>45591</v>
      </c>
      <c r="C456" s="4" t="s">
        <v>514</v>
      </c>
      <c r="D456" s="2" t="s">
        <v>117</v>
      </c>
      <c r="E456" s="4" t="s">
        <v>107</v>
      </c>
      <c r="F456" s="2" t="s">
        <v>25</v>
      </c>
      <c r="G456" s="2">
        <v>6</v>
      </c>
      <c r="H456" s="5">
        <v>90</v>
      </c>
      <c r="I456" s="5">
        <v>45</v>
      </c>
      <c r="J456" s="5">
        <v>540</v>
      </c>
      <c r="K456" s="6">
        <v>0</v>
      </c>
      <c r="L456" s="5">
        <v>540</v>
      </c>
      <c r="M456" s="2" t="s">
        <v>26</v>
      </c>
      <c r="N456" s="31" t="s">
        <v>20</v>
      </c>
    </row>
    <row r="457" spans="1:14" x14ac:dyDescent="0.25">
      <c r="A457" s="30" t="s">
        <v>754</v>
      </c>
      <c r="B457" s="8">
        <v>45456</v>
      </c>
      <c r="C457" s="9" t="s">
        <v>755</v>
      </c>
      <c r="D457" s="7" t="s">
        <v>29</v>
      </c>
      <c r="E457" s="9" t="s">
        <v>79</v>
      </c>
      <c r="F457" s="7" t="s">
        <v>70</v>
      </c>
      <c r="G457" s="7">
        <v>20</v>
      </c>
      <c r="H457" s="10">
        <v>70</v>
      </c>
      <c r="I457" s="10">
        <v>31.5</v>
      </c>
      <c r="J457" s="10">
        <v>1400</v>
      </c>
      <c r="K457" s="11">
        <v>5</v>
      </c>
      <c r="L457" s="10">
        <v>1330</v>
      </c>
      <c r="M457" s="7" t="s">
        <v>26</v>
      </c>
      <c r="N457" s="32" t="s">
        <v>20</v>
      </c>
    </row>
    <row r="458" spans="1:14" x14ac:dyDescent="0.25">
      <c r="A458" s="29" t="s">
        <v>756</v>
      </c>
      <c r="B458" s="3">
        <v>45360</v>
      </c>
      <c r="C458" s="4" t="s">
        <v>757</v>
      </c>
      <c r="D458" s="2" t="s">
        <v>117</v>
      </c>
      <c r="E458" s="4" t="s">
        <v>85</v>
      </c>
      <c r="F458" s="2" t="s">
        <v>66</v>
      </c>
      <c r="G458" s="2">
        <v>17</v>
      </c>
      <c r="H458" s="5">
        <v>55</v>
      </c>
      <c r="I458" s="5">
        <v>26.4</v>
      </c>
      <c r="J458" s="5">
        <v>935</v>
      </c>
      <c r="K458" s="6">
        <v>5</v>
      </c>
      <c r="L458" s="5">
        <v>888.25</v>
      </c>
      <c r="M458" s="2" t="s">
        <v>47</v>
      </c>
      <c r="N458" s="31" t="s">
        <v>32</v>
      </c>
    </row>
    <row r="459" spans="1:14" x14ac:dyDescent="0.25">
      <c r="A459" s="30" t="s">
        <v>758</v>
      </c>
      <c r="B459" s="8">
        <v>45575</v>
      </c>
      <c r="C459" s="9" t="s">
        <v>586</v>
      </c>
      <c r="D459" s="7" t="s">
        <v>75</v>
      </c>
      <c r="E459" s="9" t="s">
        <v>164</v>
      </c>
      <c r="F459" s="7" t="s">
        <v>31</v>
      </c>
      <c r="G459" s="7">
        <v>7</v>
      </c>
      <c r="H459" s="10">
        <v>85</v>
      </c>
      <c r="I459" s="10">
        <v>39.950000000000003</v>
      </c>
      <c r="J459" s="10">
        <v>595</v>
      </c>
      <c r="K459" s="11">
        <v>5</v>
      </c>
      <c r="L459" s="10">
        <v>565.25</v>
      </c>
      <c r="M459" s="7" t="s">
        <v>26</v>
      </c>
      <c r="N459" s="32" t="s">
        <v>32</v>
      </c>
    </row>
    <row r="460" spans="1:14" x14ac:dyDescent="0.25">
      <c r="A460" s="29" t="s">
        <v>759</v>
      </c>
      <c r="B460" s="3">
        <v>45624</v>
      </c>
      <c r="C460" s="4" t="s">
        <v>244</v>
      </c>
      <c r="D460" s="2" t="s">
        <v>54</v>
      </c>
      <c r="E460" s="4" t="s">
        <v>82</v>
      </c>
      <c r="F460" s="2" t="s">
        <v>66</v>
      </c>
      <c r="G460" s="2">
        <v>11</v>
      </c>
      <c r="H460" s="5">
        <v>80</v>
      </c>
      <c r="I460" s="5">
        <v>38.4</v>
      </c>
      <c r="J460" s="5">
        <v>880</v>
      </c>
      <c r="K460" s="6">
        <v>0</v>
      </c>
      <c r="L460" s="5">
        <v>880</v>
      </c>
      <c r="M460" s="2" t="s">
        <v>47</v>
      </c>
      <c r="N460" s="31" t="s">
        <v>32</v>
      </c>
    </row>
    <row r="461" spans="1:14" x14ac:dyDescent="0.25">
      <c r="A461" s="30" t="s">
        <v>760</v>
      </c>
      <c r="B461" s="8">
        <v>45633</v>
      </c>
      <c r="C461" s="9" t="s">
        <v>761</v>
      </c>
      <c r="D461" s="7" t="s">
        <v>54</v>
      </c>
      <c r="E461" s="9" t="s">
        <v>36</v>
      </c>
      <c r="F461" s="7" t="s">
        <v>31</v>
      </c>
      <c r="G461" s="7">
        <v>10</v>
      </c>
      <c r="H461" s="10">
        <v>65</v>
      </c>
      <c r="I461" s="10">
        <v>30.55</v>
      </c>
      <c r="J461" s="10">
        <v>650</v>
      </c>
      <c r="K461" s="11">
        <v>10</v>
      </c>
      <c r="L461" s="10">
        <v>585</v>
      </c>
      <c r="M461" s="7" t="s">
        <v>47</v>
      </c>
      <c r="N461" s="32" t="s">
        <v>32</v>
      </c>
    </row>
    <row r="462" spans="1:14" x14ac:dyDescent="0.25">
      <c r="A462" s="29" t="s">
        <v>762</v>
      </c>
      <c r="B462" s="3">
        <v>45366</v>
      </c>
      <c r="C462" s="4" t="s">
        <v>763</v>
      </c>
      <c r="D462" s="2" t="s">
        <v>75</v>
      </c>
      <c r="E462" s="4" t="s">
        <v>17</v>
      </c>
      <c r="F462" s="2" t="s">
        <v>18</v>
      </c>
      <c r="G462" s="2">
        <v>9</v>
      </c>
      <c r="H462" s="5">
        <v>20</v>
      </c>
      <c r="I462" s="5">
        <v>10.4</v>
      </c>
      <c r="J462" s="5">
        <v>180</v>
      </c>
      <c r="K462" s="6">
        <v>0</v>
      </c>
      <c r="L462" s="5">
        <v>180</v>
      </c>
      <c r="M462" s="2" t="s">
        <v>26</v>
      </c>
      <c r="N462" s="31" t="s">
        <v>32</v>
      </c>
    </row>
    <row r="463" spans="1:14" x14ac:dyDescent="0.25">
      <c r="A463" s="30" t="s">
        <v>764</v>
      </c>
      <c r="B463" s="8">
        <v>45323</v>
      </c>
      <c r="C463" s="9" t="s">
        <v>171</v>
      </c>
      <c r="D463" s="7" t="s">
        <v>75</v>
      </c>
      <c r="E463" s="9" t="s">
        <v>36</v>
      </c>
      <c r="F463" s="7" t="s">
        <v>31</v>
      </c>
      <c r="G463" s="7">
        <v>18</v>
      </c>
      <c r="H463" s="10">
        <v>65</v>
      </c>
      <c r="I463" s="10">
        <v>30.55</v>
      </c>
      <c r="J463" s="10">
        <v>1170</v>
      </c>
      <c r="K463" s="11">
        <v>0</v>
      </c>
      <c r="L463" s="10">
        <v>1170</v>
      </c>
      <c r="M463" s="7" t="s">
        <v>47</v>
      </c>
      <c r="N463" s="32" t="s">
        <v>32</v>
      </c>
    </row>
    <row r="464" spans="1:14" x14ac:dyDescent="0.25">
      <c r="A464" s="29" t="s">
        <v>765</v>
      </c>
      <c r="B464" s="3">
        <v>45637</v>
      </c>
      <c r="C464" s="4" t="s">
        <v>236</v>
      </c>
      <c r="D464" s="2" t="s">
        <v>75</v>
      </c>
      <c r="E464" s="4" t="s">
        <v>30</v>
      </c>
      <c r="F464" s="2" t="s">
        <v>31</v>
      </c>
      <c r="G464" s="2">
        <v>18</v>
      </c>
      <c r="H464" s="5">
        <v>72</v>
      </c>
      <c r="I464" s="5">
        <v>33.840000000000003</v>
      </c>
      <c r="J464" s="5">
        <v>1296</v>
      </c>
      <c r="K464" s="6">
        <v>10</v>
      </c>
      <c r="L464" s="5">
        <v>1166.4000000000001</v>
      </c>
      <c r="M464" s="2" t="s">
        <v>26</v>
      </c>
      <c r="N464" s="31" t="s">
        <v>20</v>
      </c>
    </row>
    <row r="465" spans="1:14" x14ac:dyDescent="0.25">
      <c r="A465" s="30" t="s">
        <v>766</v>
      </c>
      <c r="B465" s="8">
        <v>45632</v>
      </c>
      <c r="C465" s="9" t="s">
        <v>540</v>
      </c>
      <c r="D465" s="7" t="s">
        <v>29</v>
      </c>
      <c r="E465" s="9" t="s">
        <v>675</v>
      </c>
      <c r="F465" s="7" t="s">
        <v>18</v>
      </c>
      <c r="G465" s="7">
        <v>14</v>
      </c>
      <c r="H465" s="10">
        <v>18</v>
      </c>
      <c r="I465" s="10">
        <v>9.36</v>
      </c>
      <c r="J465" s="10">
        <v>252</v>
      </c>
      <c r="K465" s="11">
        <v>10</v>
      </c>
      <c r="L465" s="10">
        <v>226.8</v>
      </c>
      <c r="M465" s="7" t="s">
        <v>19</v>
      </c>
      <c r="N465" s="32" t="s">
        <v>32</v>
      </c>
    </row>
    <row r="466" spans="1:14" x14ac:dyDescent="0.25">
      <c r="A466" s="29" t="s">
        <v>767</v>
      </c>
      <c r="B466" s="3">
        <v>45609</v>
      </c>
      <c r="C466" s="4" t="s">
        <v>623</v>
      </c>
      <c r="D466" s="2" t="s">
        <v>75</v>
      </c>
      <c r="E466" s="4" t="s">
        <v>45</v>
      </c>
      <c r="F466" s="2" t="s">
        <v>46</v>
      </c>
      <c r="G466" s="2">
        <v>12</v>
      </c>
      <c r="H466" s="5">
        <v>450</v>
      </c>
      <c r="I466" s="5">
        <v>247.5</v>
      </c>
      <c r="J466" s="5">
        <v>5400</v>
      </c>
      <c r="K466" s="6">
        <v>20</v>
      </c>
      <c r="L466" s="5">
        <v>4320</v>
      </c>
      <c r="M466" s="2" t="s">
        <v>19</v>
      </c>
      <c r="N466" s="31" t="s">
        <v>32</v>
      </c>
    </row>
    <row r="467" spans="1:14" x14ac:dyDescent="0.25">
      <c r="A467" s="30" t="s">
        <v>768</v>
      </c>
      <c r="B467" s="8">
        <v>45521</v>
      </c>
      <c r="C467" s="9" t="s">
        <v>211</v>
      </c>
      <c r="D467" s="7" t="s">
        <v>130</v>
      </c>
      <c r="E467" s="9" t="s">
        <v>201</v>
      </c>
      <c r="F467" s="7" t="s">
        <v>66</v>
      </c>
      <c r="G467" s="7">
        <v>6</v>
      </c>
      <c r="H467" s="10">
        <v>110</v>
      </c>
      <c r="I467" s="10">
        <v>52.8</v>
      </c>
      <c r="J467" s="10">
        <v>660</v>
      </c>
      <c r="K467" s="11">
        <v>20</v>
      </c>
      <c r="L467" s="10">
        <v>528</v>
      </c>
      <c r="M467" s="7" t="s">
        <v>19</v>
      </c>
      <c r="N467" s="32" t="s">
        <v>20</v>
      </c>
    </row>
    <row r="468" spans="1:14" x14ac:dyDescent="0.25">
      <c r="A468" s="29" t="s">
        <v>769</v>
      </c>
      <c r="B468" s="3">
        <v>45427</v>
      </c>
      <c r="C468" s="4" t="s">
        <v>462</v>
      </c>
      <c r="D468" s="2" t="s">
        <v>117</v>
      </c>
      <c r="E468" s="4" t="s">
        <v>65</v>
      </c>
      <c r="F468" s="2" t="s">
        <v>66</v>
      </c>
      <c r="G468" s="2">
        <v>9</v>
      </c>
      <c r="H468" s="5">
        <v>65</v>
      </c>
      <c r="I468" s="5">
        <v>31.2</v>
      </c>
      <c r="J468" s="5">
        <v>585</v>
      </c>
      <c r="K468" s="6">
        <v>0</v>
      </c>
      <c r="L468" s="5">
        <v>585</v>
      </c>
      <c r="M468" s="2" t="s">
        <v>26</v>
      </c>
      <c r="N468" s="31" t="s">
        <v>32</v>
      </c>
    </row>
    <row r="469" spans="1:14" x14ac:dyDescent="0.25">
      <c r="A469" s="30" t="s">
        <v>770</v>
      </c>
      <c r="B469" s="8">
        <v>45370</v>
      </c>
      <c r="C469" s="9" t="s">
        <v>771</v>
      </c>
      <c r="D469" s="7" t="s">
        <v>117</v>
      </c>
      <c r="E469" s="9" t="s">
        <v>229</v>
      </c>
      <c r="F469" s="7" t="s">
        <v>51</v>
      </c>
      <c r="G469" s="7">
        <v>10</v>
      </c>
      <c r="H469" s="10">
        <v>850</v>
      </c>
      <c r="I469" s="10">
        <v>510</v>
      </c>
      <c r="J469" s="10">
        <v>8500</v>
      </c>
      <c r="K469" s="11">
        <v>15</v>
      </c>
      <c r="L469" s="10">
        <v>7225</v>
      </c>
      <c r="M469" s="7" t="s">
        <v>47</v>
      </c>
      <c r="N469" s="32" t="s">
        <v>20</v>
      </c>
    </row>
    <row r="470" spans="1:14" x14ac:dyDescent="0.25">
      <c r="A470" s="29" t="s">
        <v>772</v>
      </c>
      <c r="B470" s="3">
        <v>45654</v>
      </c>
      <c r="C470" s="4" t="s">
        <v>575</v>
      </c>
      <c r="D470" s="2" t="s">
        <v>130</v>
      </c>
      <c r="E470" s="4" t="s">
        <v>50</v>
      </c>
      <c r="F470" s="2" t="s">
        <v>51</v>
      </c>
      <c r="G470" s="2">
        <v>17</v>
      </c>
      <c r="H470" s="5">
        <v>120</v>
      </c>
      <c r="I470" s="5">
        <v>72</v>
      </c>
      <c r="J470" s="5">
        <v>2040</v>
      </c>
      <c r="K470" s="6">
        <v>0</v>
      </c>
      <c r="L470" s="5">
        <v>2040</v>
      </c>
      <c r="M470" s="2" t="s">
        <v>19</v>
      </c>
      <c r="N470" s="31" t="s">
        <v>20</v>
      </c>
    </row>
    <row r="471" spans="1:14" x14ac:dyDescent="0.25">
      <c r="A471" s="30" t="s">
        <v>773</v>
      </c>
      <c r="B471" s="8">
        <v>45498</v>
      </c>
      <c r="C471" s="9" t="s">
        <v>423</v>
      </c>
      <c r="D471" s="7" t="s">
        <v>75</v>
      </c>
      <c r="E471" s="9" t="s">
        <v>38</v>
      </c>
      <c r="F471" s="7" t="s">
        <v>18</v>
      </c>
      <c r="G471" s="7">
        <v>7</v>
      </c>
      <c r="H471" s="10">
        <v>30</v>
      </c>
      <c r="I471" s="10">
        <v>15.6</v>
      </c>
      <c r="J471" s="10">
        <v>210</v>
      </c>
      <c r="K471" s="11">
        <v>10</v>
      </c>
      <c r="L471" s="10">
        <v>189</v>
      </c>
      <c r="M471" s="7" t="s">
        <v>19</v>
      </c>
      <c r="N471" s="32" t="s">
        <v>20</v>
      </c>
    </row>
    <row r="472" spans="1:14" x14ac:dyDescent="0.25">
      <c r="A472" s="29" t="s">
        <v>774</v>
      </c>
      <c r="B472" s="3">
        <v>45535</v>
      </c>
      <c r="C472" s="4" t="s">
        <v>514</v>
      </c>
      <c r="D472" s="2" t="s">
        <v>23</v>
      </c>
      <c r="E472" s="4" t="s">
        <v>76</v>
      </c>
      <c r="F472" s="2" t="s">
        <v>70</v>
      </c>
      <c r="G472" s="2">
        <v>4</v>
      </c>
      <c r="H472" s="5">
        <v>110</v>
      </c>
      <c r="I472" s="5">
        <v>49.5</v>
      </c>
      <c r="J472" s="5">
        <v>440</v>
      </c>
      <c r="K472" s="6">
        <v>10</v>
      </c>
      <c r="L472" s="5">
        <v>396</v>
      </c>
      <c r="M472" s="2" t="s">
        <v>26</v>
      </c>
      <c r="N472" s="31" t="s">
        <v>32</v>
      </c>
    </row>
    <row r="473" spans="1:14" x14ac:dyDescent="0.25">
      <c r="A473" s="30" t="s">
        <v>775</v>
      </c>
      <c r="B473" s="8">
        <v>45610</v>
      </c>
      <c r="C473" s="9" t="s">
        <v>282</v>
      </c>
      <c r="D473" s="7" t="s">
        <v>35</v>
      </c>
      <c r="E473" s="9" t="s">
        <v>201</v>
      </c>
      <c r="F473" s="7" t="s">
        <v>66</v>
      </c>
      <c r="G473" s="7">
        <v>13</v>
      </c>
      <c r="H473" s="10">
        <v>110</v>
      </c>
      <c r="I473" s="10">
        <v>52.8</v>
      </c>
      <c r="J473" s="10">
        <v>1430</v>
      </c>
      <c r="K473" s="11">
        <v>0</v>
      </c>
      <c r="L473" s="10">
        <v>1430</v>
      </c>
      <c r="M473" s="7" t="s">
        <v>47</v>
      </c>
      <c r="N473" s="32" t="s">
        <v>32</v>
      </c>
    </row>
    <row r="474" spans="1:14" x14ac:dyDescent="0.25">
      <c r="A474" s="29" t="s">
        <v>776</v>
      </c>
      <c r="B474" s="3">
        <v>45556</v>
      </c>
      <c r="C474" s="4" t="s">
        <v>153</v>
      </c>
      <c r="D474" s="2" t="s">
        <v>54</v>
      </c>
      <c r="E474" s="4" t="s">
        <v>45</v>
      </c>
      <c r="F474" s="2" t="s">
        <v>46</v>
      </c>
      <c r="G474" s="2">
        <v>17</v>
      </c>
      <c r="H474" s="5">
        <v>450</v>
      </c>
      <c r="I474" s="5">
        <v>247.5</v>
      </c>
      <c r="J474" s="5">
        <v>7650</v>
      </c>
      <c r="K474" s="6">
        <v>15</v>
      </c>
      <c r="L474" s="5">
        <v>6502.5</v>
      </c>
      <c r="M474" s="2" t="s">
        <v>19</v>
      </c>
      <c r="N474" s="31" t="s">
        <v>32</v>
      </c>
    </row>
    <row r="475" spans="1:14" x14ac:dyDescent="0.25">
      <c r="A475" s="30" t="s">
        <v>777</v>
      </c>
      <c r="B475" s="8">
        <v>45555</v>
      </c>
      <c r="C475" s="9" t="s">
        <v>778</v>
      </c>
      <c r="D475" s="7" t="s">
        <v>130</v>
      </c>
      <c r="E475" s="9" t="s">
        <v>93</v>
      </c>
      <c r="F475" s="7" t="s">
        <v>18</v>
      </c>
      <c r="G475" s="7">
        <v>18</v>
      </c>
      <c r="H475" s="10">
        <v>85</v>
      </c>
      <c r="I475" s="10">
        <v>44.2</v>
      </c>
      <c r="J475" s="10">
        <v>1530</v>
      </c>
      <c r="K475" s="11">
        <v>20</v>
      </c>
      <c r="L475" s="10">
        <v>1224</v>
      </c>
      <c r="M475" s="7" t="s">
        <v>19</v>
      </c>
      <c r="N475" s="32" t="s">
        <v>20</v>
      </c>
    </row>
    <row r="476" spans="1:14" x14ac:dyDescent="0.25">
      <c r="A476" s="29" t="s">
        <v>779</v>
      </c>
      <c r="B476" s="3">
        <v>45642</v>
      </c>
      <c r="C476" s="4" t="s">
        <v>462</v>
      </c>
      <c r="D476" s="2" t="s">
        <v>75</v>
      </c>
      <c r="E476" s="4" t="s">
        <v>24</v>
      </c>
      <c r="F476" s="2" t="s">
        <v>25</v>
      </c>
      <c r="G476" s="2">
        <v>18</v>
      </c>
      <c r="H476" s="5">
        <v>40</v>
      </c>
      <c r="I476" s="5">
        <v>20</v>
      </c>
      <c r="J476" s="5">
        <v>720</v>
      </c>
      <c r="K476" s="6">
        <v>10</v>
      </c>
      <c r="L476" s="5">
        <v>648</v>
      </c>
      <c r="M476" s="2" t="s">
        <v>26</v>
      </c>
      <c r="N476" s="31" t="s">
        <v>32</v>
      </c>
    </row>
    <row r="477" spans="1:14" x14ac:dyDescent="0.25">
      <c r="A477" s="30" t="s">
        <v>780</v>
      </c>
      <c r="B477" s="8">
        <v>45527</v>
      </c>
      <c r="C477" s="9" t="s">
        <v>15</v>
      </c>
      <c r="D477" s="7" t="s">
        <v>23</v>
      </c>
      <c r="E477" s="9" t="s">
        <v>36</v>
      </c>
      <c r="F477" s="7" t="s">
        <v>31</v>
      </c>
      <c r="G477" s="7">
        <v>3</v>
      </c>
      <c r="H477" s="10">
        <v>65</v>
      </c>
      <c r="I477" s="10">
        <v>30.55</v>
      </c>
      <c r="J477" s="10">
        <v>195</v>
      </c>
      <c r="K477" s="11">
        <v>0</v>
      </c>
      <c r="L477" s="10">
        <v>195</v>
      </c>
      <c r="M477" s="7" t="s">
        <v>26</v>
      </c>
      <c r="N477" s="32" t="s">
        <v>20</v>
      </c>
    </row>
    <row r="478" spans="1:14" x14ac:dyDescent="0.25">
      <c r="A478" s="29" t="s">
        <v>781</v>
      </c>
      <c r="B478" s="3">
        <v>45586</v>
      </c>
      <c r="C478" s="4" t="s">
        <v>782</v>
      </c>
      <c r="D478" s="2" t="s">
        <v>16</v>
      </c>
      <c r="E478" s="4" t="s">
        <v>234</v>
      </c>
      <c r="F478" s="2" t="s">
        <v>46</v>
      </c>
      <c r="G478" s="2">
        <v>14</v>
      </c>
      <c r="H478" s="5">
        <v>30</v>
      </c>
      <c r="I478" s="5">
        <v>16.5</v>
      </c>
      <c r="J478" s="5">
        <v>420</v>
      </c>
      <c r="K478" s="6">
        <v>10</v>
      </c>
      <c r="L478" s="5">
        <v>378</v>
      </c>
      <c r="M478" s="2" t="s">
        <v>47</v>
      </c>
      <c r="N478" s="31" t="s">
        <v>32</v>
      </c>
    </row>
    <row r="479" spans="1:14" x14ac:dyDescent="0.25">
      <c r="A479" s="30" t="s">
        <v>783</v>
      </c>
      <c r="B479" s="8">
        <v>45491</v>
      </c>
      <c r="C479" s="9" t="s">
        <v>530</v>
      </c>
      <c r="D479" s="7" t="s">
        <v>54</v>
      </c>
      <c r="E479" s="9" t="s">
        <v>164</v>
      </c>
      <c r="F479" s="7" t="s">
        <v>31</v>
      </c>
      <c r="G479" s="7">
        <v>1</v>
      </c>
      <c r="H479" s="10">
        <v>85</v>
      </c>
      <c r="I479" s="10">
        <v>39.950000000000003</v>
      </c>
      <c r="J479" s="10">
        <v>85</v>
      </c>
      <c r="K479" s="11">
        <v>0</v>
      </c>
      <c r="L479" s="10">
        <v>85</v>
      </c>
      <c r="M479" s="7" t="s">
        <v>47</v>
      </c>
      <c r="N479" s="32" t="s">
        <v>32</v>
      </c>
    </row>
    <row r="480" spans="1:14" x14ac:dyDescent="0.25">
      <c r="A480" s="29" t="s">
        <v>784</v>
      </c>
      <c r="B480" s="3">
        <v>45549</v>
      </c>
      <c r="C480" s="4" t="s">
        <v>313</v>
      </c>
      <c r="D480" s="2" t="s">
        <v>16</v>
      </c>
      <c r="E480" s="4" t="s">
        <v>198</v>
      </c>
      <c r="F480" s="2" t="s">
        <v>18</v>
      </c>
      <c r="G480" s="2">
        <v>20</v>
      </c>
      <c r="H480" s="5">
        <v>35</v>
      </c>
      <c r="I480" s="5">
        <v>18.2</v>
      </c>
      <c r="J480" s="5">
        <v>700</v>
      </c>
      <c r="K480" s="6">
        <v>0</v>
      </c>
      <c r="L480" s="5">
        <v>700</v>
      </c>
      <c r="M480" s="2" t="s">
        <v>26</v>
      </c>
      <c r="N480" s="31" t="s">
        <v>20</v>
      </c>
    </row>
    <row r="481" spans="1:14" x14ac:dyDescent="0.25">
      <c r="A481" s="30" t="s">
        <v>785</v>
      </c>
      <c r="B481" s="8">
        <v>45630</v>
      </c>
      <c r="C481" s="9" t="s">
        <v>58</v>
      </c>
      <c r="D481" s="7" t="s">
        <v>130</v>
      </c>
      <c r="E481" s="9" t="s">
        <v>123</v>
      </c>
      <c r="F481" s="7" t="s">
        <v>18</v>
      </c>
      <c r="G481" s="7">
        <v>18</v>
      </c>
      <c r="H481" s="10">
        <v>75</v>
      </c>
      <c r="I481" s="10">
        <v>39</v>
      </c>
      <c r="J481" s="10">
        <v>1350</v>
      </c>
      <c r="K481" s="11">
        <v>5</v>
      </c>
      <c r="L481" s="10">
        <v>1282.5</v>
      </c>
      <c r="M481" s="7" t="s">
        <v>47</v>
      </c>
      <c r="N481" s="32" t="s">
        <v>20</v>
      </c>
    </row>
    <row r="482" spans="1:14" x14ac:dyDescent="0.25">
      <c r="A482" s="29" t="s">
        <v>786</v>
      </c>
      <c r="B482" s="3">
        <v>45616</v>
      </c>
      <c r="C482" s="4" t="s">
        <v>787</v>
      </c>
      <c r="D482" s="2" t="s">
        <v>35</v>
      </c>
      <c r="E482" s="4" t="s">
        <v>120</v>
      </c>
      <c r="F482" s="2" t="s">
        <v>66</v>
      </c>
      <c r="G482" s="2">
        <v>1</v>
      </c>
      <c r="H482" s="5">
        <v>45</v>
      </c>
      <c r="I482" s="5">
        <v>21.6</v>
      </c>
      <c r="J482" s="5">
        <v>45</v>
      </c>
      <c r="K482" s="6">
        <v>20</v>
      </c>
      <c r="L482" s="5">
        <v>36</v>
      </c>
      <c r="M482" s="2" t="s">
        <v>19</v>
      </c>
      <c r="N482" s="31" t="s">
        <v>32</v>
      </c>
    </row>
    <row r="483" spans="1:14" x14ac:dyDescent="0.25">
      <c r="A483" s="30" t="s">
        <v>788</v>
      </c>
      <c r="B483" s="8">
        <v>45585</v>
      </c>
      <c r="C483" s="9" t="s">
        <v>379</v>
      </c>
      <c r="D483" s="7" t="s">
        <v>54</v>
      </c>
      <c r="E483" s="9" t="s">
        <v>79</v>
      </c>
      <c r="F483" s="7" t="s">
        <v>70</v>
      </c>
      <c r="G483" s="7">
        <v>18</v>
      </c>
      <c r="H483" s="10">
        <v>70</v>
      </c>
      <c r="I483" s="10">
        <v>31.5</v>
      </c>
      <c r="J483" s="10">
        <v>1260</v>
      </c>
      <c r="K483" s="11">
        <v>0</v>
      </c>
      <c r="L483" s="10">
        <v>1260</v>
      </c>
      <c r="M483" s="7" t="s">
        <v>26</v>
      </c>
      <c r="N483" s="32" t="s">
        <v>20</v>
      </c>
    </row>
    <row r="484" spans="1:14" x14ac:dyDescent="0.25">
      <c r="A484" s="29" t="s">
        <v>789</v>
      </c>
      <c r="B484" s="3">
        <v>45503</v>
      </c>
      <c r="C484" s="4" t="s">
        <v>790</v>
      </c>
      <c r="D484" s="2" t="s">
        <v>130</v>
      </c>
      <c r="E484" s="4" t="s">
        <v>30</v>
      </c>
      <c r="F484" s="2" t="s">
        <v>31</v>
      </c>
      <c r="G484" s="2">
        <v>6</v>
      </c>
      <c r="H484" s="5">
        <v>72</v>
      </c>
      <c r="I484" s="5">
        <v>33.840000000000003</v>
      </c>
      <c r="J484" s="5">
        <v>432</v>
      </c>
      <c r="K484" s="6">
        <v>0</v>
      </c>
      <c r="L484" s="5">
        <v>432</v>
      </c>
      <c r="M484" s="2" t="s">
        <v>26</v>
      </c>
      <c r="N484" s="31" t="s">
        <v>20</v>
      </c>
    </row>
    <row r="485" spans="1:14" x14ac:dyDescent="0.25">
      <c r="A485" s="30" t="s">
        <v>791</v>
      </c>
      <c r="B485" s="8">
        <v>45384</v>
      </c>
      <c r="C485" s="9" t="s">
        <v>207</v>
      </c>
      <c r="D485" s="7" t="s">
        <v>23</v>
      </c>
      <c r="E485" s="9" t="s">
        <v>30</v>
      </c>
      <c r="F485" s="7" t="s">
        <v>31</v>
      </c>
      <c r="G485" s="7">
        <v>18</v>
      </c>
      <c r="H485" s="10">
        <v>72</v>
      </c>
      <c r="I485" s="10">
        <v>33.840000000000003</v>
      </c>
      <c r="J485" s="10">
        <v>1296</v>
      </c>
      <c r="K485" s="11">
        <v>15</v>
      </c>
      <c r="L485" s="10">
        <v>1101.5999999999999</v>
      </c>
      <c r="M485" s="7" t="s">
        <v>19</v>
      </c>
      <c r="N485" s="32" t="s">
        <v>32</v>
      </c>
    </row>
    <row r="486" spans="1:14" x14ac:dyDescent="0.25">
      <c r="A486" s="29" t="s">
        <v>792</v>
      </c>
      <c r="B486" s="3">
        <v>45342</v>
      </c>
      <c r="C486" s="4" t="s">
        <v>669</v>
      </c>
      <c r="D486" s="2" t="s">
        <v>59</v>
      </c>
      <c r="E486" s="4" t="s">
        <v>82</v>
      </c>
      <c r="F486" s="2" t="s">
        <v>66</v>
      </c>
      <c r="G486" s="2">
        <v>11</v>
      </c>
      <c r="H486" s="5">
        <v>80</v>
      </c>
      <c r="I486" s="5">
        <v>38.4</v>
      </c>
      <c r="J486" s="5">
        <v>880</v>
      </c>
      <c r="K486" s="6">
        <v>10</v>
      </c>
      <c r="L486" s="5">
        <v>792</v>
      </c>
      <c r="M486" s="2" t="s">
        <v>26</v>
      </c>
      <c r="N486" s="31" t="s">
        <v>20</v>
      </c>
    </row>
    <row r="487" spans="1:14" x14ac:dyDescent="0.25">
      <c r="A487" s="30" t="s">
        <v>793</v>
      </c>
      <c r="B487" s="8">
        <v>45609</v>
      </c>
      <c r="C487" s="9" t="s">
        <v>593</v>
      </c>
      <c r="D487" s="7" t="s">
        <v>35</v>
      </c>
      <c r="E487" s="9" t="s">
        <v>126</v>
      </c>
      <c r="F487" s="7" t="s">
        <v>18</v>
      </c>
      <c r="G487" s="7">
        <v>16</v>
      </c>
      <c r="H487" s="10">
        <v>120</v>
      </c>
      <c r="I487" s="10">
        <v>62.4</v>
      </c>
      <c r="J487" s="10">
        <v>1920</v>
      </c>
      <c r="K487" s="11">
        <v>15</v>
      </c>
      <c r="L487" s="10">
        <v>1632</v>
      </c>
      <c r="M487" s="7" t="s">
        <v>26</v>
      </c>
      <c r="N487" s="32" t="s">
        <v>20</v>
      </c>
    </row>
    <row r="488" spans="1:14" x14ac:dyDescent="0.25">
      <c r="A488" s="29" t="s">
        <v>794</v>
      </c>
      <c r="B488" s="3">
        <v>45581</v>
      </c>
      <c r="C488" s="4" t="s">
        <v>506</v>
      </c>
      <c r="D488" s="2" t="s">
        <v>35</v>
      </c>
      <c r="E488" s="4" t="s">
        <v>79</v>
      </c>
      <c r="F488" s="2" t="s">
        <v>70</v>
      </c>
      <c r="G488" s="2">
        <v>14</v>
      </c>
      <c r="H488" s="5">
        <v>70</v>
      </c>
      <c r="I488" s="5">
        <v>31.5</v>
      </c>
      <c r="J488" s="5">
        <v>980</v>
      </c>
      <c r="K488" s="6">
        <v>0</v>
      </c>
      <c r="L488" s="5">
        <v>980</v>
      </c>
      <c r="M488" s="2" t="s">
        <v>19</v>
      </c>
      <c r="N488" s="31" t="s">
        <v>20</v>
      </c>
    </row>
    <row r="489" spans="1:14" x14ac:dyDescent="0.25">
      <c r="A489" s="30" t="s">
        <v>795</v>
      </c>
      <c r="B489" s="8">
        <v>45620</v>
      </c>
      <c r="C489" s="9" t="s">
        <v>441</v>
      </c>
      <c r="D489" s="7" t="s">
        <v>35</v>
      </c>
      <c r="E489" s="9" t="s">
        <v>196</v>
      </c>
      <c r="F489" s="7" t="s">
        <v>25</v>
      </c>
      <c r="G489" s="7">
        <v>5</v>
      </c>
      <c r="H489" s="10">
        <v>75</v>
      </c>
      <c r="I489" s="10">
        <v>37.5</v>
      </c>
      <c r="J489" s="10">
        <v>375</v>
      </c>
      <c r="K489" s="11">
        <v>10</v>
      </c>
      <c r="L489" s="10">
        <v>337.5</v>
      </c>
      <c r="M489" s="7" t="s">
        <v>47</v>
      </c>
      <c r="N489" s="32" t="s">
        <v>32</v>
      </c>
    </row>
    <row r="490" spans="1:14" x14ac:dyDescent="0.25">
      <c r="A490" s="29" t="s">
        <v>796</v>
      </c>
      <c r="B490" s="3">
        <v>45448</v>
      </c>
      <c r="C490" s="4" t="s">
        <v>238</v>
      </c>
      <c r="D490" s="2" t="s">
        <v>130</v>
      </c>
      <c r="E490" s="4" t="s">
        <v>24</v>
      </c>
      <c r="F490" s="2" t="s">
        <v>25</v>
      </c>
      <c r="G490" s="2">
        <v>20</v>
      </c>
      <c r="H490" s="5">
        <v>40</v>
      </c>
      <c r="I490" s="5">
        <v>20</v>
      </c>
      <c r="J490" s="5">
        <v>800</v>
      </c>
      <c r="K490" s="6">
        <v>0</v>
      </c>
      <c r="L490" s="5">
        <v>800</v>
      </c>
      <c r="M490" s="2" t="s">
        <v>26</v>
      </c>
      <c r="N490" s="31" t="s">
        <v>32</v>
      </c>
    </row>
    <row r="491" spans="1:14" x14ac:dyDescent="0.25">
      <c r="A491" s="30" t="s">
        <v>797</v>
      </c>
      <c r="B491" s="8">
        <v>45567</v>
      </c>
      <c r="C491" s="9" t="s">
        <v>244</v>
      </c>
      <c r="D491" s="7" t="s">
        <v>44</v>
      </c>
      <c r="E491" s="9" t="s">
        <v>120</v>
      </c>
      <c r="F491" s="7" t="s">
        <v>66</v>
      </c>
      <c r="G491" s="7">
        <v>3</v>
      </c>
      <c r="H491" s="10">
        <v>45</v>
      </c>
      <c r="I491" s="10">
        <v>21.6</v>
      </c>
      <c r="J491" s="10">
        <v>135</v>
      </c>
      <c r="K491" s="11">
        <v>0</v>
      </c>
      <c r="L491" s="10">
        <v>135</v>
      </c>
      <c r="M491" s="7" t="s">
        <v>26</v>
      </c>
      <c r="N491" s="32" t="s">
        <v>32</v>
      </c>
    </row>
    <row r="492" spans="1:14" x14ac:dyDescent="0.25">
      <c r="A492" s="29" t="s">
        <v>798</v>
      </c>
      <c r="B492" s="3">
        <v>45499</v>
      </c>
      <c r="C492" s="4" t="s">
        <v>394</v>
      </c>
      <c r="D492" s="2" t="s">
        <v>75</v>
      </c>
      <c r="E492" s="4" t="s">
        <v>88</v>
      </c>
      <c r="F492" s="2" t="s">
        <v>46</v>
      </c>
      <c r="G492" s="2">
        <v>2</v>
      </c>
      <c r="H492" s="5">
        <v>55</v>
      </c>
      <c r="I492" s="5">
        <v>30.25</v>
      </c>
      <c r="J492" s="5">
        <v>110</v>
      </c>
      <c r="K492" s="6">
        <v>20</v>
      </c>
      <c r="L492" s="5">
        <v>88</v>
      </c>
      <c r="M492" s="2" t="s">
        <v>26</v>
      </c>
      <c r="N492" s="31" t="s">
        <v>32</v>
      </c>
    </row>
    <row r="493" spans="1:14" x14ac:dyDescent="0.25">
      <c r="A493" s="30" t="s">
        <v>799</v>
      </c>
      <c r="B493" s="8">
        <v>45626</v>
      </c>
      <c r="C493" s="9" t="s">
        <v>365</v>
      </c>
      <c r="D493" s="7" t="s">
        <v>35</v>
      </c>
      <c r="E493" s="9" t="s">
        <v>234</v>
      </c>
      <c r="F493" s="7" t="s">
        <v>46</v>
      </c>
      <c r="G493" s="7">
        <v>13</v>
      </c>
      <c r="H493" s="10">
        <v>30</v>
      </c>
      <c r="I493" s="10">
        <v>16.5</v>
      </c>
      <c r="J493" s="10">
        <v>390</v>
      </c>
      <c r="K493" s="11">
        <v>5</v>
      </c>
      <c r="L493" s="10">
        <v>370.5</v>
      </c>
      <c r="M493" s="7" t="s">
        <v>47</v>
      </c>
      <c r="N493" s="32" t="s">
        <v>32</v>
      </c>
    </row>
    <row r="494" spans="1:14" x14ac:dyDescent="0.25">
      <c r="A494" s="29" t="s">
        <v>800</v>
      </c>
      <c r="B494" s="3">
        <v>45529</v>
      </c>
      <c r="C494" s="4" t="s">
        <v>403</v>
      </c>
      <c r="D494" s="2" t="s">
        <v>44</v>
      </c>
      <c r="E494" s="4" t="s">
        <v>76</v>
      </c>
      <c r="F494" s="2" t="s">
        <v>70</v>
      </c>
      <c r="G494" s="2">
        <v>13</v>
      </c>
      <c r="H494" s="5">
        <v>110</v>
      </c>
      <c r="I494" s="5">
        <v>49.5</v>
      </c>
      <c r="J494" s="5">
        <v>1430</v>
      </c>
      <c r="K494" s="6">
        <v>10</v>
      </c>
      <c r="L494" s="5">
        <v>1287</v>
      </c>
      <c r="M494" s="2" t="s">
        <v>26</v>
      </c>
      <c r="N494" s="31" t="s">
        <v>32</v>
      </c>
    </row>
    <row r="495" spans="1:14" x14ac:dyDescent="0.25">
      <c r="A495" s="30" t="s">
        <v>801</v>
      </c>
      <c r="B495" s="8">
        <v>45376</v>
      </c>
      <c r="C495" s="9" t="s">
        <v>586</v>
      </c>
      <c r="D495" s="7" t="s">
        <v>130</v>
      </c>
      <c r="E495" s="9" t="s">
        <v>88</v>
      </c>
      <c r="F495" s="7" t="s">
        <v>46</v>
      </c>
      <c r="G495" s="7">
        <v>15</v>
      </c>
      <c r="H495" s="10">
        <v>55</v>
      </c>
      <c r="I495" s="10">
        <v>30.25</v>
      </c>
      <c r="J495" s="10">
        <v>825</v>
      </c>
      <c r="K495" s="11">
        <v>0</v>
      </c>
      <c r="L495" s="10">
        <v>825</v>
      </c>
      <c r="M495" s="7" t="s">
        <v>26</v>
      </c>
      <c r="N495" s="32" t="s">
        <v>32</v>
      </c>
    </row>
    <row r="496" spans="1:14" x14ac:dyDescent="0.25">
      <c r="A496" s="29" t="s">
        <v>802</v>
      </c>
      <c r="B496" s="3">
        <v>45539</v>
      </c>
      <c r="C496" s="4" t="s">
        <v>40</v>
      </c>
      <c r="D496" s="2" t="s">
        <v>75</v>
      </c>
      <c r="E496" s="4" t="s">
        <v>229</v>
      </c>
      <c r="F496" s="2" t="s">
        <v>51</v>
      </c>
      <c r="G496" s="2">
        <v>16</v>
      </c>
      <c r="H496" s="5">
        <v>850</v>
      </c>
      <c r="I496" s="5">
        <v>510</v>
      </c>
      <c r="J496" s="5">
        <v>13600</v>
      </c>
      <c r="K496" s="6">
        <v>5</v>
      </c>
      <c r="L496" s="5">
        <v>12920</v>
      </c>
      <c r="M496" s="2" t="s">
        <v>47</v>
      </c>
      <c r="N496" s="31" t="s">
        <v>20</v>
      </c>
    </row>
    <row r="497" spans="1:14" x14ac:dyDescent="0.25">
      <c r="A497" s="30" t="s">
        <v>803</v>
      </c>
      <c r="B497" s="8">
        <v>45397</v>
      </c>
      <c r="C497" s="9" t="s">
        <v>804</v>
      </c>
      <c r="D497" s="7" t="s">
        <v>29</v>
      </c>
      <c r="E497" s="9" t="s">
        <v>79</v>
      </c>
      <c r="F497" s="7" t="s">
        <v>70</v>
      </c>
      <c r="G497" s="7">
        <v>16</v>
      </c>
      <c r="H497" s="10">
        <v>70</v>
      </c>
      <c r="I497" s="10">
        <v>31.5</v>
      </c>
      <c r="J497" s="10">
        <v>1120</v>
      </c>
      <c r="K497" s="11">
        <v>15</v>
      </c>
      <c r="L497" s="10">
        <v>952</v>
      </c>
      <c r="M497" s="7" t="s">
        <v>19</v>
      </c>
      <c r="N497" s="32" t="s">
        <v>32</v>
      </c>
    </row>
    <row r="498" spans="1:14" x14ac:dyDescent="0.25">
      <c r="A498" s="29" t="s">
        <v>805</v>
      </c>
      <c r="B498" s="3">
        <v>45652</v>
      </c>
      <c r="C498" s="4" t="s">
        <v>546</v>
      </c>
      <c r="D498" s="2" t="s">
        <v>16</v>
      </c>
      <c r="E498" s="4" t="s">
        <v>76</v>
      </c>
      <c r="F498" s="2" t="s">
        <v>70</v>
      </c>
      <c r="G498" s="2">
        <v>9</v>
      </c>
      <c r="H498" s="5">
        <v>110</v>
      </c>
      <c r="I498" s="5">
        <v>49.5</v>
      </c>
      <c r="J498" s="5">
        <v>990</v>
      </c>
      <c r="K498" s="6">
        <v>20</v>
      </c>
      <c r="L498" s="5">
        <v>792</v>
      </c>
      <c r="M498" s="2" t="s">
        <v>47</v>
      </c>
      <c r="N498" s="31" t="s">
        <v>32</v>
      </c>
    </row>
    <row r="499" spans="1:14" x14ac:dyDescent="0.25">
      <c r="A499" s="30" t="s">
        <v>806</v>
      </c>
      <c r="B499" s="8">
        <v>45592</v>
      </c>
      <c r="C499" s="9" t="s">
        <v>546</v>
      </c>
      <c r="D499" s="7" t="s">
        <v>54</v>
      </c>
      <c r="E499" s="9" t="s">
        <v>164</v>
      </c>
      <c r="F499" s="7" t="s">
        <v>31</v>
      </c>
      <c r="G499" s="7">
        <v>9</v>
      </c>
      <c r="H499" s="10">
        <v>85</v>
      </c>
      <c r="I499" s="10">
        <v>39.950000000000003</v>
      </c>
      <c r="J499" s="10">
        <v>765</v>
      </c>
      <c r="K499" s="11">
        <v>10</v>
      </c>
      <c r="L499" s="10">
        <v>688.5</v>
      </c>
      <c r="M499" s="7" t="s">
        <v>19</v>
      </c>
      <c r="N499" s="32" t="s">
        <v>32</v>
      </c>
    </row>
    <row r="500" spans="1:14" x14ac:dyDescent="0.25">
      <c r="A500" s="29" t="s">
        <v>807</v>
      </c>
      <c r="B500" s="3">
        <v>45468</v>
      </c>
      <c r="C500" s="4" t="s">
        <v>512</v>
      </c>
      <c r="D500" s="2" t="s">
        <v>117</v>
      </c>
      <c r="E500" s="4" t="s">
        <v>60</v>
      </c>
      <c r="F500" s="2" t="s">
        <v>25</v>
      </c>
      <c r="G500" s="2">
        <v>1</v>
      </c>
      <c r="H500" s="5">
        <v>55</v>
      </c>
      <c r="I500" s="5">
        <v>27.5</v>
      </c>
      <c r="J500" s="5">
        <v>55</v>
      </c>
      <c r="K500" s="6">
        <v>20</v>
      </c>
      <c r="L500" s="5">
        <v>44</v>
      </c>
      <c r="M500" s="2" t="s">
        <v>47</v>
      </c>
      <c r="N500" s="31" t="s">
        <v>32</v>
      </c>
    </row>
    <row r="501" spans="1:14" x14ac:dyDescent="0.25">
      <c r="A501" s="36" t="s">
        <v>808</v>
      </c>
      <c r="B501" s="37">
        <v>45555</v>
      </c>
      <c r="C501" s="38" t="s">
        <v>293</v>
      </c>
      <c r="D501" s="39" t="s">
        <v>75</v>
      </c>
      <c r="E501" s="38" t="s">
        <v>36</v>
      </c>
      <c r="F501" s="39" t="s">
        <v>31</v>
      </c>
      <c r="G501" s="39">
        <v>5</v>
      </c>
      <c r="H501" s="40">
        <v>65</v>
      </c>
      <c r="I501" s="40">
        <v>30.55</v>
      </c>
      <c r="J501" s="40">
        <v>325</v>
      </c>
      <c r="K501" s="41">
        <v>0</v>
      </c>
      <c r="L501" s="40">
        <v>325</v>
      </c>
      <c r="M501" s="39" t="s">
        <v>26</v>
      </c>
      <c r="N501" s="42" t="s">
        <v>20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13" customWidth="1"/>
    <col min="3" max="3" width="10" customWidth="1"/>
    <col min="4" max="4" width="8" customWidth="1"/>
    <col min="5" max="5" width="22" customWidth="1"/>
    <col min="6" max="6" width="14" customWidth="1"/>
    <col min="7" max="7" width="24" customWidth="1"/>
    <col min="8" max="8" width="12" customWidth="1"/>
    <col min="9" max="9" width="10" customWidth="1"/>
    <col min="10" max="11" width="12" customWidth="1"/>
    <col min="12" max="12" width="13" customWidth="1"/>
    <col min="13" max="13" width="12" customWidth="1"/>
    <col min="14" max="15" width="14" customWidth="1"/>
    <col min="16" max="16" width="15" customWidth="1"/>
    <col min="17" max="17" width="14" customWidth="1"/>
    <col min="18" max="18" width="13" customWidth="1"/>
  </cols>
  <sheetData>
    <row r="1" spans="1:18" ht="30" customHeight="1" x14ac:dyDescent="0.25">
      <c r="A1" s="12" t="s">
        <v>0</v>
      </c>
      <c r="B1" s="12" t="s">
        <v>1</v>
      </c>
      <c r="C1" s="12" t="s">
        <v>809</v>
      </c>
      <c r="D1" s="12" t="s">
        <v>810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811</v>
      </c>
      <c r="P1" s="12" t="s">
        <v>812</v>
      </c>
      <c r="Q1" s="12" t="s">
        <v>12</v>
      </c>
      <c r="R1" s="12" t="s">
        <v>13</v>
      </c>
    </row>
    <row r="2" spans="1:18" x14ac:dyDescent="0.25">
      <c r="A2" s="2" t="str">
        <f>Raw_Data!A2</f>
        <v>ORD-0001</v>
      </c>
      <c r="B2" s="3">
        <f>Raw_Data!B2</f>
        <v>45619</v>
      </c>
      <c r="C2" s="2" t="str">
        <f>TEXT(Raw_Data!B2,"MMM")</f>
        <v>Nov</v>
      </c>
      <c r="D2" s="2">
        <f>YEAR(Raw_Data!B2)</f>
        <v>2024</v>
      </c>
      <c r="E2" s="4" t="str">
        <f>Raw_Data!C2</f>
        <v>Swati Patel</v>
      </c>
      <c r="F2" s="2" t="str">
        <f>Raw_Data!D2</f>
        <v>Chennai</v>
      </c>
      <c r="G2" s="4" t="str">
        <f>Raw_Data!E2</f>
        <v>Paracetamol 500mg</v>
      </c>
      <c r="H2" s="2" t="str">
        <f>Raw_Data!F2</f>
        <v>Tablet</v>
      </c>
      <c r="I2" s="2">
        <f>Raw_Data!G2</f>
        <v>8</v>
      </c>
      <c r="J2" s="5">
        <f>Raw_Data!H2</f>
        <v>20</v>
      </c>
      <c r="K2" s="5">
        <f>Raw_Data!I2</f>
        <v>10.4</v>
      </c>
      <c r="L2" s="5">
        <f>Raw_Data!J2</f>
        <v>160</v>
      </c>
      <c r="M2" s="6">
        <f>Raw_Data!K2</f>
        <v>5</v>
      </c>
      <c r="N2" s="5">
        <f>Raw_Data!L2</f>
        <v>152</v>
      </c>
      <c r="O2" s="5">
        <f t="shared" ref="O2:O65" si="0">L2-(I2*K2)</f>
        <v>76.8</v>
      </c>
      <c r="P2" s="13">
        <f t="shared" ref="P2:P65" si="1">IFERROR((L2-(I2*K2))/L2,0)</f>
        <v>0.48</v>
      </c>
      <c r="Q2" s="2" t="str">
        <f>Raw_Data!M2</f>
        <v>Cash</v>
      </c>
      <c r="R2" s="2" t="str">
        <f>Raw_Data!N2</f>
        <v>Yes</v>
      </c>
    </row>
    <row r="3" spans="1:18" x14ac:dyDescent="0.25">
      <c r="A3" s="7" t="str">
        <f>Raw_Data!A3</f>
        <v>ORD-0002</v>
      </c>
      <c r="B3" s="8">
        <f>Raw_Data!B3</f>
        <v>45594</v>
      </c>
      <c r="C3" s="7" t="str">
        <f>TEXT(Raw_Data!B3,"MMM")</f>
        <v>Oct</v>
      </c>
      <c r="D3" s="7">
        <f>YEAR(Raw_Data!B3)</f>
        <v>2024</v>
      </c>
      <c r="E3" s="9" t="str">
        <f>Raw_Data!C3</f>
        <v>Swati Singh</v>
      </c>
      <c r="F3" s="7" t="str">
        <f>Raw_Data!D3</f>
        <v>Mumbai</v>
      </c>
      <c r="G3" s="9" t="str">
        <f>Raw_Data!E3</f>
        <v>Omeprazole 20mg</v>
      </c>
      <c r="H3" s="7" t="str">
        <f>Raw_Data!F3</f>
        <v>Capsule</v>
      </c>
      <c r="I3" s="7">
        <f>Raw_Data!G3</f>
        <v>3</v>
      </c>
      <c r="J3" s="10">
        <f>Raw_Data!H3</f>
        <v>40</v>
      </c>
      <c r="K3" s="10">
        <f>Raw_Data!I3</f>
        <v>20</v>
      </c>
      <c r="L3" s="10">
        <f>Raw_Data!J3</f>
        <v>120</v>
      </c>
      <c r="M3" s="11">
        <f>Raw_Data!K3</f>
        <v>5</v>
      </c>
      <c r="N3" s="10">
        <f>Raw_Data!L3</f>
        <v>114</v>
      </c>
      <c r="O3" s="10">
        <f t="shared" si="0"/>
        <v>60</v>
      </c>
      <c r="P3" s="14">
        <f t="shared" si="1"/>
        <v>0.5</v>
      </c>
      <c r="Q3" s="7" t="str">
        <f>Raw_Data!M3</f>
        <v>UPI</v>
      </c>
      <c r="R3" s="7" t="str">
        <f>Raw_Data!N3</f>
        <v>Yes</v>
      </c>
    </row>
    <row r="4" spans="1:18" x14ac:dyDescent="0.25">
      <c r="A4" s="2" t="str">
        <f>Raw_Data!A4</f>
        <v>ORD-0003</v>
      </c>
      <c r="B4" s="3">
        <f>Raw_Data!B4</f>
        <v>45624</v>
      </c>
      <c r="C4" s="2" t="str">
        <f>TEXT(Raw_Data!B4,"MMM")</f>
        <v>Nov</v>
      </c>
      <c r="D4" s="2">
        <f>YEAR(Raw_Data!B4)</f>
        <v>2024</v>
      </c>
      <c r="E4" s="4" t="str">
        <f>Raw_Data!C4</f>
        <v>Rahul Dubey</v>
      </c>
      <c r="F4" s="2" t="str">
        <f>Raw_Data!D4</f>
        <v>Kolkata</v>
      </c>
      <c r="G4" s="4" t="str">
        <f>Raw_Data!E4</f>
        <v>Soframycin Cream</v>
      </c>
      <c r="H4" s="2" t="str">
        <f>Raw_Data!F4</f>
        <v>Cream</v>
      </c>
      <c r="I4" s="2">
        <f>Raw_Data!G4</f>
        <v>8</v>
      </c>
      <c r="J4" s="5">
        <f>Raw_Data!H4</f>
        <v>72</v>
      </c>
      <c r="K4" s="5">
        <f>Raw_Data!I4</f>
        <v>33.840000000000003</v>
      </c>
      <c r="L4" s="5">
        <f>Raw_Data!J4</f>
        <v>576</v>
      </c>
      <c r="M4" s="6">
        <f>Raw_Data!K4</f>
        <v>15</v>
      </c>
      <c r="N4" s="5">
        <f>Raw_Data!L4</f>
        <v>489.6</v>
      </c>
      <c r="O4" s="5">
        <f t="shared" si="0"/>
        <v>305.27999999999997</v>
      </c>
      <c r="P4" s="13">
        <f t="shared" si="1"/>
        <v>0.52999999999999992</v>
      </c>
      <c r="Q4" s="2" t="str">
        <f>Raw_Data!M4</f>
        <v>UPI</v>
      </c>
      <c r="R4" s="2" t="str">
        <f>Raw_Data!N4</f>
        <v>No</v>
      </c>
    </row>
    <row r="5" spans="1:18" x14ac:dyDescent="0.25">
      <c r="A5" s="7" t="str">
        <f>Raw_Data!A5</f>
        <v>ORD-0004</v>
      </c>
      <c r="B5" s="8">
        <f>Raw_Data!B5</f>
        <v>45373</v>
      </c>
      <c r="C5" s="7" t="str">
        <f>TEXT(Raw_Data!B5,"MMM")</f>
        <v>Mar</v>
      </c>
      <c r="D5" s="7">
        <f>YEAR(Raw_Data!B5)</f>
        <v>2024</v>
      </c>
      <c r="E5" s="9" t="str">
        <f>Raw_Data!C5</f>
        <v>Sunita Patel</v>
      </c>
      <c r="F5" s="7" t="str">
        <f>Raw_Data!D5</f>
        <v>Pune</v>
      </c>
      <c r="G5" s="9" t="str">
        <f>Raw_Data!E5</f>
        <v>Candid Cream</v>
      </c>
      <c r="H5" s="7" t="str">
        <f>Raw_Data!F5</f>
        <v>Cream</v>
      </c>
      <c r="I5" s="7">
        <f>Raw_Data!G5</f>
        <v>9</v>
      </c>
      <c r="J5" s="10">
        <f>Raw_Data!H5</f>
        <v>65</v>
      </c>
      <c r="K5" s="10">
        <f>Raw_Data!I5</f>
        <v>30.55</v>
      </c>
      <c r="L5" s="10">
        <f>Raw_Data!J5</f>
        <v>585</v>
      </c>
      <c r="M5" s="11">
        <f>Raw_Data!K5</f>
        <v>0</v>
      </c>
      <c r="N5" s="10">
        <f>Raw_Data!L5</f>
        <v>585</v>
      </c>
      <c r="O5" s="10">
        <f t="shared" si="0"/>
        <v>310.05</v>
      </c>
      <c r="P5" s="14">
        <f t="shared" si="1"/>
        <v>0.53</v>
      </c>
      <c r="Q5" s="7" t="str">
        <f>Raw_Data!M5</f>
        <v>UPI</v>
      </c>
      <c r="R5" s="7" t="str">
        <f>Raw_Data!N5</f>
        <v>Yes</v>
      </c>
    </row>
    <row r="6" spans="1:18" x14ac:dyDescent="0.25">
      <c r="A6" s="2" t="str">
        <f>Raw_Data!A6</f>
        <v>ORD-0005</v>
      </c>
      <c r="B6" s="3">
        <f>Raw_Data!B6</f>
        <v>45486</v>
      </c>
      <c r="C6" s="2" t="str">
        <f>TEXT(Raw_Data!B6,"MMM")</f>
        <v>Jul</v>
      </c>
      <c r="D6" s="2">
        <f>YEAR(Raw_Data!B6)</f>
        <v>2024</v>
      </c>
      <c r="E6" s="4" t="str">
        <f>Raw_Data!C6</f>
        <v>Swati Patel</v>
      </c>
      <c r="F6" s="2" t="str">
        <f>Raw_Data!D6</f>
        <v>Pune</v>
      </c>
      <c r="G6" s="4" t="str">
        <f>Raw_Data!E6</f>
        <v>Ibuprofen 400mg</v>
      </c>
      <c r="H6" s="2" t="str">
        <f>Raw_Data!F6</f>
        <v>Tablet</v>
      </c>
      <c r="I6" s="2">
        <f>Raw_Data!G6</f>
        <v>20</v>
      </c>
      <c r="J6" s="5">
        <f>Raw_Data!H6</f>
        <v>30</v>
      </c>
      <c r="K6" s="5">
        <f>Raw_Data!I6</f>
        <v>15.6</v>
      </c>
      <c r="L6" s="5">
        <f>Raw_Data!J6</f>
        <v>600</v>
      </c>
      <c r="M6" s="6">
        <f>Raw_Data!K6</f>
        <v>5</v>
      </c>
      <c r="N6" s="5">
        <f>Raw_Data!L6</f>
        <v>570</v>
      </c>
      <c r="O6" s="5">
        <f t="shared" si="0"/>
        <v>288</v>
      </c>
      <c r="P6" s="13">
        <f t="shared" si="1"/>
        <v>0.48</v>
      </c>
      <c r="Q6" s="2" t="str">
        <f>Raw_Data!M6</f>
        <v>UPI</v>
      </c>
      <c r="R6" s="2" t="str">
        <f>Raw_Data!N6</f>
        <v>No</v>
      </c>
    </row>
    <row r="7" spans="1:18" x14ac:dyDescent="0.25">
      <c r="A7" s="7" t="str">
        <f>Raw_Data!A7</f>
        <v>ORD-0006</v>
      </c>
      <c r="B7" s="8">
        <f>Raw_Data!B7</f>
        <v>45485</v>
      </c>
      <c r="C7" s="7" t="str">
        <f>TEXT(Raw_Data!B7,"MMM")</f>
        <v>Jul</v>
      </c>
      <c r="D7" s="7">
        <f>YEAR(Raw_Data!B7)</f>
        <v>2024</v>
      </c>
      <c r="E7" s="9" t="str">
        <f>Raw_Data!C7</f>
        <v>Priya Agarwal</v>
      </c>
      <c r="F7" s="7" t="str">
        <f>Raw_Data!D7</f>
        <v>Chennai</v>
      </c>
      <c r="G7" s="9" t="str">
        <f>Raw_Data!E7</f>
        <v>Azithromycin 500mg</v>
      </c>
      <c r="H7" s="7" t="str">
        <f>Raw_Data!F7</f>
        <v>Tablet</v>
      </c>
      <c r="I7" s="7">
        <f>Raw_Data!G7</f>
        <v>20</v>
      </c>
      <c r="J7" s="10">
        <f>Raw_Data!H7</f>
        <v>150</v>
      </c>
      <c r="K7" s="10">
        <f>Raw_Data!I7</f>
        <v>78</v>
      </c>
      <c r="L7" s="10">
        <f>Raw_Data!J7</f>
        <v>3000</v>
      </c>
      <c r="M7" s="11">
        <f>Raw_Data!K7</f>
        <v>10</v>
      </c>
      <c r="N7" s="10">
        <f>Raw_Data!L7</f>
        <v>2700</v>
      </c>
      <c r="O7" s="10">
        <f t="shared" si="0"/>
        <v>1440</v>
      </c>
      <c r="P7" s="14">
        <f t="shared" si="1"/>
        <v>0.48</v>
      </c>
      <c r="Q7" s="7" t="str">
        <f>Raw_Data!M7</f>
        <v>UPI</v>
      </c>
      <c r="R7" s="7" t="str">
        <f>Raw_Data!N7</f>
        <v>Yes</v>
      </c>
    </row>
    <row r="8" spans="1:18" x14ac:dyDescent="0.25">
      <c r="A8" s="2" t="str">
        <f>Raw_Data!A8</f>
        <v>ORD-0007</v>
      </c>
      <c r="B8" s="3">
        <f>Raw_Data!B8</f>
        <v>45408</v>
      </c>
      <c r="C8" s="2" t="str">
        <f>TEXT(Raw_Data!B8,"MMM")</f>
        <v>Apr</v>
      </c>
      <c r="D8" s="2">
        <f>YEAR(Raw_Data!B8)</f>
        <v>2024</v>
      </c>
      <c r="E8" s="4" t="str">
        <f>Raw_Data!C8</f>
        <v>Meera Gupta</v>
      </c>
      <c r="F8" s="2" t="str">
        <f>Raw_Data!D8</f>
        <v>Delhi</v>
      </c>
      <c r="G8" s="4" t="str">
        <f>Raw_Data!E8</f>
        <v>Protein Supplement</v>
      </c>
      <c r="H8" s="2" t="str">
        <f>Raw_Data!F8</f>
        <v>Powder</v>
      </c>
      <c r="I8" s="2">
        <f>Raw_Data!G8</f>
        <v>8</v>
      </c>
      <c r="J8" s="5">
        <f>Raw_Data!H8</f>
        <v>450</v>
      </c>
      <c r="K8" s="5">
        <f>Raw_Data!I8</f>
        <v>247.5</v>
      </c>
      <c r="L8" s="5">
        <f>Raw_Data!J8</f>
        <v>3600</v>
      </c>
      <c r="M8" s="6">
        <f>Raw_Data!K8</f>
        <v>0</v>
      </c>
      <c r="N8" s="5">
        <f>Raw_Data!L8</f>
        <v>3600</v>
      </c>
      <c r="O8" s="5">
        <f t="shared" si="0"/>
        <v>1620</v>
      </c>
      <c r="P8" s="13">
        <f t="shared" si="1"/>
        <v>0.45</v>
      </c>
      <c r="Q8" s="2" t="str">
        <f>Raw_Data!M8</f>
        <v>Card</v>
      </c>
      <c r="R8" s="2" t="str">
        <f>Raw_Data!N8</f>
        <v>No</v>
      </c>
    </row>
    <row r="9" spans="1:18" x14ac:dyDescent="0.25">
      <c r="A9" s="7" t="str">
        <f>Raw_Data!A9</f>
        <v>ORD-0008</v>
      </c>
      <c r="B9" s="8">
        <f>Raw_Data!B9</f>
        <v>45481</v>
      </c>
      <c r="C9" s="7" t="str">
        <f>TEXT(Raw_Data!B9,"MMM")</f>
        <v>Jul</v>
      </c>
      <c r="D9" s="7">
        <f>YEAR(Raw_Data!B9)</f>
        <v>2024</v>
      </c>
      <c r="E9" s="9" t="str">
        <f>Raw_Data!C9</f>
        <v>Sanjay Mehta</v>
      </c>
      <c r="F9" s="7" t="str">
        <f>Raw_Data!D9</f>
        <v>Chennai</v>
      </c>
      <c r="G9" s="9" t="str">
        <f>Raw_Data!E9</f>
        <v>Ondansetron Inj</v>
      </c>
      <c r="H9" s="7" t="str">
        <f>Raw_Data!F9</f>
        <v>Injection</v>
      </c>
      <c r="I9" s="7">
        <f>Raw_Data!G9</f>
        <v>3</v>
      </c>
      <c r="J9" s="10">
        <f>Raw_Data!H9</f>
        <v>120</v>
      </c>
      <c r="K9" s="10">
        <f>Raw_Data!I9</f>
        <v>72</v>
      </c>
      <c r="L9" s="10">
        <f>Raw_Data!J9</f>
        <v>360</v>
      </c>
      <c r="M9" s="11">
        <f>Raw_Data!K9</f>
        <v>0</v>
      </c>
      <c r="N9" s="10">
        <f>Raw_Data!L9</f>
        <v>360</v>
      </c>
      <c r="O9" s="10">
        <f t="shared" si="0"/>
        <v>144</v>
      </c>
      <c r="P9" s="14">
        <f t="shared" si="1"/>
        <v>0.4</v>
      </c>
      <c r="Q9" s="7" t="str">
        <f>Raw_Data!M9</f>
        <v>Cash</v>
      </c>
      <c r="R9" s="7" t="str">
        <f>Raw_Data!N9</f>
        <v>Yes</v>
      </c>
    </row>
    <row r="10" spans="1:18" x14ac:dyDescent="0.25">
      <c r="A10" s="2" t="str">
        <f>Raw_Data!A10</f>
        <v>ORD-0009</v>
      </c>
      <c r="B10" s="3">
        <f>Raw_Data!B10</f>
        <v>45430</v>
      </c>
      <c r="C10" s="2" t="str">
        <f>TEXT(Raw_Data!B10,"MMM")</f>
        <v>May</v>
      </c>
      <c r="D10" s="2">
        <f>YEAR(Raw_Data!B10)</f>
        <v>2024</v>
      </c>
      <c r="E10" s="4" t="str">
        <f>Raw_Data!C10</f>
        <v>Deepa Mishra</v>
      </c>
      <c r="F10" s="2" t="str">
        <f>Raw_Data!D10</f>
        <v>Jaipur</v>
      </c>
      <c r="G10" s="4" t="str">
        <f>Raw_Data!E10</f>
        <v>Soframycin Cream</v>
      </c>
      <c r="H10" s="2" t="str">
        <f>Raw_Data!F10</f>
        <v>Cream</v>
      </c>
      <c r="I10" s="2">
        <f>Raw_Data!G10</f>
        <v>8</v>
      </c>
      <c r="J10" s="5">
        <f>Raw_Data!H10</f>
        <v>72</v>
      </c>
      <c r="K10" s="5">
        <f>Raw_Data!I10</f>
        <v>33.840000000000003</v>
      </c>
      <c r="L10" s="5">
        <f>Raw_Data!J10</f>
        <v>576</v>
      </c>
      <c r="M10" s="6">
        <f>Raw_Data!K10</f>
        <v>10</v>
      </c>
      <c r="N10" s="5">
        <f>Raw_Data!L10</f>
        <v>518.4</v>
      </c>
      <c r="O10" s="5">
        <f t="shared" si="0"/>
        <v>305.27999999999997</v>
      </c>
      <c r="P10" s="13">
        <f t="shared" si="1"/>
        <v>0.52999999999999992</v>
      </c>
      <c r="Q10" s="2" t="str">
        <f>Raw_Data!M10</f>
        <v>UPI</v>
      </c>
      <c r="R10" s="2" t="str">
        <f>Raw_Data!N10</f>
        <v>No</v>
      </c>
    </row>
    <row r="11" spans="1:18" x14ac:dyDescent="0.25">
      <c r="A11" s="7" t="str">
        <f>Raw_Data!A11</f>
        <v>ORD-0010</v>
      </c>
      <c r="B11" s="8">
        <f>Raw_Data!B11</f>
        <v>45308</v>
      </c>
      <c r="C11" s="7" t="str">
        <f>TEXT(Raw_Data!B11,"MMM")</f>
        <v>Jan</v>
      </c>
      <c r="D11" s="7">
        <f>YEAR(Raw_Data!B11)</f>
        <v>2024</v>
      </c>
      <c r="E11" s="9" t="str">
        <f>Raw_Data!C11</f>
        <v>Arjun Singh</v>
      </c>
      <c r="F11" s="7" t="str">
        <f>Raw_Data!D11</f>
        <v>Kolkata</v>
      </c>
      <c r="G11" s="9" t="str">
        <f>Raw_Data!E11</f>
        <v>Protein Supplement</v>
      </c>
      <c r="H11" s="7" t="str">
        <f>Raw_Data!F11</f>
        <v>Powder</v>
      </c>
      <c r="I11" s="7">
        <f>Raw_Data!G11</f>
        <v>9</v>
      </c>
      <c r="J11" s="10">
        <f>Raw_Data!H11</f>
        <v>450</v>
      </c>
      <c r="K11" s="10">
        <f>Raw_Data!I11</f>
        <v>247.5</v>
      </c>
      <c r="L11" s="10">
        <f>Raw_Data!J11</f>
        <v>4050</v>
      </c>
      <c r="M11" s="11">
        <f>Raw_Data!K11</f>
        <v>0</v>
      </c>
      <c r="N11" s="10">
        <f>Raw_Data!L11</f>
        <v>4050</v>
      </c>
      <c r="O11" s="10">
        <f t="shared" si="0"/>
        <v>1822.5</v>
      </c>
      <c r="P11" s="14">
        <f t="shared" si="1"/>
        <v>0.45</v>
      </c>
      <c r="Q11" s="7" t="str">
        <f>Raw_Data!M11</f>
        <v>UPI</v>
      </c>
      <c r="R11" s="7" t="str">
        <f>Raw_Data!N11</f>
        <v>No</v>
      </c>
    </row>
    <row r="12" spans="1:18" x14ac:dyDescent="0.25">
      <c r="A12" s="2" t="str">
        <f>Raw_Data!A12</f>
        <v>ORD-0011</v>
      </c>
      <c r="B12" s="3">
        <f>Raw_Data!B12</f>
        <v>45627</v>
      </c>
      <c r="C12" s="2" t="str">
        <f>TEXT(Raw_Data!B12,"MMM")</f>
        <v>Dec</v>
      </c>
      <c r="D12" s="2">
        <f>YEAR(Raw_Data!B12)</f>
        <v>2024</v>
      </c>
      <c r="E12" s="4" t="str">
        <f>Raw_Data!C12</f>
        <v>Swati Kumar</v>
      </c>
      <c r="F12" s="2" t="str">
        <f>Raw_Data!D12</f>
        <v>Ahmedabad</v>
      </c>
      <c r="G12" s="4" t="str">
        <f>Raw_Data!E12</f>
        <v>Vitamin D3 60K</v>
      </c>
      <c r="H12" s="2" t="str">
        <f>Raw_Data!F12</f>
        <v>Capsule</v>
      </c>
      <c r="I12" s="2">
        <f>Raw_Data!G12</f>
        <v>5</v>
      </c>
      <c r="J12" s="5">
        <f>Raw_Data!H12</f>
        <v>55</v>
      </c>
      <c r="K12" s="5">
        <f>Raw_Data!I12</f>
        <v>27.5</v>
      </c>
      <c r="L12" s="5">
        <f>Raw_Data!J12</f>
        <v>275</v>
      </c>
      <c r="M12" s="6">
        <f>Raw_Data!K12</f>
        <v>5</v>
      </c>
      <c r="N12" s="5">
        <f>Raw_Data!L12</f>
        <v>261.25</v>
      </c>
      <c r="O12" s="5">
        <f t="shared" si="0"/>
        <v>137.5</v>
      </c>
      <c r="P12" s="13">
        <f t="shared" si="1"/>
        <v>0.5</v>
      </c>
      <c r="Q12" s="2" t="str">
        <f>Raw_Data!M12</f>
        <v>UPI</v>
      </c>
      <c r="R12" s="2" t="str">
        <f>Raw_Data!N12</f>
        <v>Yes</v>
      </c>
    </row>
    <row r="13" spans="1:18" x14ac:dyDescent="0.25">
      <c r="A13" s="7" t="str">
        <f>Raw_Data!A13</f>
        <v>ORD-0012</v>
      </c>
      <c r="B13" s="8">
        <f>Raw_Data!B13</f>
        <v>45591</v>
      </c>
      <c r="C13" s="7" t="str">
        <f>TEXT(Raw_Data!B13,"MMM")</f>
        <v>Oct</v>
      </c>
      <c r="D13" s="7">
        <f>YEAR(Raw_Data!B13)</f>
        <v>2024</v>
      </c>
      <c r="E13" s="9" t="str">
        <f>Raw_Data!C13</f>
        <v>Priya Mishra</v>
      </c>
      <c r="F13" s="7" t="str">
        <f>Raw_Data!D13</f>
        <v>Pune</v>
      </c>
      <c r="G13" s="9" t="str">
        <f>Raw_Data!E13</f>
        <v>Vitamin D3 60K</v>
      </c>
      <c r="H13" s="7" t="str">
        <f>Raw_Data!F13</f>
        <v>Capsule</v>
      </c>
      <c r="I13" s="7">
        <f>Raw_Data!G13</f>
        <v>8</v>
      </c>
      <c r="J13" s="10">
        <f>Raw_Data!H13</f>
        <v>55</v>
      </c>
      <c r="K13" s="10">
        <f>Raw_Data!I13</f>
        <v>27.5</v>
      </c>
      <c r="L13" s="10">
        <f>Raw_Data!J13</f>
        <v>440</v>
      </c>
      <c r="M13" s="11">
        <f>Raw_Data!K13</f>
        <v>0</v>
      </c>
      <c r="N13" s="10">
        <f>Raw_Data!L13</f>
        <v>440</v>
      </c>
      <c r="O13" s="10">
        <f t="shared" si="0"/>
        <v>220</v>
      </c>
      <c r="P13" s="14">
        <f t="shared" si="1"/>
        <v>0.5</v>
      </c>
      <c r="Q13" s="7" t="str">
        <f>Raw_Data!M13</f>
        <v>Cash</v>
      </c>
      <c r="R13" s="7" t="str">
        <f>Raw_Data!N13</f>
        <v>Yes</v>
      </c>
    </row>
    <row r="14" spans="1:18" x14ac:dyDescent="0.25">
      <c r="A14" s="2" t="str">
        <f>Raw_Data!A14</f>
        <v>ORD-0013</v>
      </c>
      <c r="B14" s="3">
        <f>Raw_Data!B14</f>
        <v>45348</v>
      </c>
      <c r="C14" s="2" t="str">
        <f>TEXT(Raw_Data!B14,"MMM")</f>
        <v>Feb</v>
      </c>
      <c r="D14" s="2">
        <f>YEAR(Raw_Data!B14)</f>
        <v>2024</v>
      </c>
      <c r="E14" s="4" t="str">
        <f>Raw_Data!C14</f>
        <v>Sanjay Verma</v>
      </c>
      <c r="F14" s="2" t="str">
        <f>Raw_Data!D14</f>
        <v>Kolkata</v>
      </c>
      <c r="G14" s="4" t="str">
        <f>Raw_Data!E14</f>
        <v>Ambroxol Syrup</v>
      </c>
      <c r="H14" s="2" t="str">
        <f>Raw_Data!F14</f>
        <v>Syrup</v>
      </c>
      <c r="I14" s="2">
        <f>Raw_Data!G14</f>
        <v>20</v>
      </c>
      <c r="J14" s="5">
        <f>Raw_Data!H14</f>
        <v>65</v>
      </c>
      <c r="K14" s="5">
        <f>Raw_Data!I14</f>
        <v>31.2</v>
      </c>
      <c r="L14" s="5">
        <f>Raw_Data!J14</f>
        <v>1300</v>
      </c>
      <c r="M14" s="6">
        <f>Raw_Data!K14</f>
        <v>0</v>
      </c>
      <c r="N14" s="5">
        <f>Raw_Data!L14</f>
        <v>1300</v>
      </c>
      <c r="O14" s="5">
        <f t="shared" si="0"/>
        <v>676</v>
      </c>
      <c r="P14" s="13">
        <f t="shared" si="1"/>
        <v>0.52</v>
      </c>
      <c r="Q14" s="2" t="str">
        <f>Raw_Data!M14</f>
        <v>Card</v>
      </c>
      <c r="R14" s="2" t="str">
        <f>Raw_Data!N14</f>
        <v>No</v>
      </c>
    </row>
    <row r="15" spans="1:18" x14ac:dyDescent="0.25">
      <c r="A15" s="7" t="str">
        <f>Raw_Data!A15</f>
        <v>ORD-0014</v>
      </c>
      <c r="B15" s="8">
        <f>Raw_Data!B15</f>
        <v>45420</v>
      </c>
      <c r="C15" s="7" t="str">
        <f>TEXT(Raw_Data!B15,"MMM")</f>
        <v>May</v>
      </c>
      <c r="D15" s="7">
        <f>YEAR(Raw_Data!B15)</f>
        <v>2024</v>
      </c>
      <c r="E15" s="9" t="str">
        <f>Raw_Data!C15</f>
        <v>Kavita Mehta</v>
      </c>
      <c r="F15" s="7" t="str">
        <f>Raw_Data!D15</f>
        <v>Delhi</v>
      </c>
      <c r="G15" s="9" t="str">
        <f>Raw_Data!E15</f>
        <v>Otrivin Nasal Drops</v>
      </c>
      <c r="H15" s="7" t="str">
        <f>Raw_Data!F15</f>
        <v>Drops</v>
      </c>
      <c r="I15" s="7">
        <f>Raw_Data!G15</f>
        <v>18</v>
      </c>
      <c r="J15" s="10">
        <f>Raw_Data!H15</f>
        <v>95</v>
      </c>
      <c r="K15" s="10">
        <f>Raw_Data!I15</f>
        <v>42.75</v>
      </c>
      <c r="L15" s="10">
        <f>Raw_Data!J15</f>
        <v>1710</v>
      </c>
      <c r="M15" s="11">
        <f>Raw_Data!K15</f>
        <v>5</v>
      </c>
      <c r="N15" s="10">
        <f>Raw_Data!L15</f>
        <v>1624.5</v>
      </c>
      <c r="O15" s="10">
        <f t="shared" si="0"/>
        <v>940.5</v>
      </c>
      <c r="P15" s="14">
        <f t="shared" si="1"/>
        <v>0.55000000000000004</v>
      </c>
      <c r="Q15" s="7" t="str">
        <f>Raw_Data!M15</f>
        <v>Card</v>
      </c>
      <c r="R15" s="7" t="str">
        <f>Raw_Data!N15</f>
        <v>No</v>
      </c>
    </row>
    <row r="16" spans="1:18" x14ac:dyDescent="0.25">
      <c r="A16" s="2" t="str">
        <f>Raw_Data!A16</f>
        <v>ORD-0015</v>
      </c>
      <c r="B16" s="3">
        <f>Raw_Data!B16</f>
        <v>45372</v>
      </c>
      <c r="C16" s="2" t="str">
        <f>TEXT(Raw_Data!B16,"MMM")</f>
        <v>Mar</v>
      </c>
      <c r="D16" s="2">
        <f>YEAR(Raw_Data!B16)</f>
        <v>2024</v>
      </c>
      <c r="E16" s="4" t="str">
        <f>Raw_Data!C16</f>
        <v>Kavita Mishra</v>
      </c>
      <c r="F16" s="2" t="str">
        <f>Raw_Data!D16</f>
        <v>Chennai</v>
      </c>
      <c r="G16" s="4" t="str">
        <f>Raw_Data!E16</f>
        <v>Omeprazole 20mg</v>
      </c>
      <c r="H16" s="2" t="str">
        <f>Raw_Data!F16</f>
        <v>Capsule</v>
      </c>
      <c r="I16" s="2">
        <f>Raw_Data!G16</f>
        <v>17</v>
      </c>
      <c r="J16" s="5">
        <f>Raw_Data!H16</f>
        <v>40</v>
      </c>
      <c r="K16" s="5">
        <f>Raw_Data!I16</f>
        <v>20</v>
      </c>
      <c r="L16" s="5">
        <f>Raw_Data!J16</f>
        <v>680</v>
      </c>
      <c r="M16" s="6">
        <f>Raw_Data!K16</f>
        <v>0</v>
      </c>
      <c r="N16" s="5">
        <f>Raw_Data!L16</f>
        <v>680</v>
      </c>
      <c r="O16" s="5">
        <f t="shared" si="0"/>
        <v>340</v>
      </c>
      <c r="P16" s="13">
        <f t="shared" si="1"/>
        <v>0.5</v>
      </c>
      <c r="Q16" s="2" t="str">
        <f>Raw_Data!M16</f>
        <v>Cash</v>
      </c>
      <c r="R16" s="2" t="str">
        <f>Raw_Data!N16</f>
        <v>Yes</v>
      </c>
    </row>
    <row r="17" spans="1:18" x14ac:dyDescent="0.25">
      <c r="A17" s="7" t="str">
        <f>Raw_Data!A17</f>
        <v>ORD-0016</v>
      </c>
      <c r="B17" s="8">
        <f>Raw_Data!B17</f>
        <v>45619</v>
      </c>
      <c r="C17" s="7" t="str">
        <f>TEXT(Raw_Data!B17,"MMM")</f>
        <v>Nov</v>
      </c>
      <c r="D17" s="7">
        <f>YEAR(Raw_Data!B17)</f>
        <v>2024</v>
      </c>
      <c r="E17" s="9" t="str">
        <f>Raw_Data!C17</f>
        <v>Manish Nair</v>
      </c>
      <c r="F17" s="7" t="str">
        <f>Raw_Data!D17</f>
        <v>Hyderabad</v>
      </c>
      <c r="G17" s="9" t="str">
        <f>Raw_Data!E17</f>
        <v>Refresh Tears</v>
      </c>
      <c r="H17" s="7" t="str">
        <f>Raw_Data!F17</f>
        <v>Drops</v>
      </c>
      <c r="I17" s="7">
        <f>Raw_Data!G17</f>
        <v>5</v>
      </c>
      <c r="J17" s="10">
        <f>Raw_Data!H17</f>
        <v>110</v>
      </c>
      <c r="K17" s="10">
        <f>Raw_Data!I17</f>
        <v>49.5</v>
      </c>
      <c r="L17" s="10">
        <f>Raw_Data!J17</f>
        <v>550</v>
      </c>
      <c r="M17" s="11">
        <f>Raw_Data!K17</f>
        <v>10</v>
      </c>
      <c r="N17" s="10">
        <f>Raw_Data!L17</f>
        <v>495</v>
      </c>
      <c r="O17" s="10">
        <f t="shared" si="0"/>
        <v>302.5</v>
      </c>
      <c r="P17" s="14">
        <f t="shared" si="1"/>
        <v>0.55000000000000004</v>
      </c>
      <c r="Q17" s="7" t="str">
        <f>Raw_Data!M17</f>
        <v>Card</v>
      </c>
      <c r="R17" s="7" t="str">
        <f>Raw_Data!N17</f>
        <v>No</v>
      </c>
    </row>
    <row r="18" spans="1:18" x14ac:dyDescent="0.25">
      <c r="A18" s="2" t="str">
        <f>Raw_Data!A18</f>
        <v>ORD-0017</v>
      </c>
      <c r="B18" s="3">
        <f>Raw_Data!B18</f>
        <v>45292</v>
      </c>
      <c r="C18" s="2" t="str">
        <f>TEXT(Raw_Data!B18,"MMM")</f>
        <v>Jan</v>
      </c>
      <c r="D18" s="2">
        <f>YEAR(Raw_Data!B18)</f>
        <v>2024</v>
      </c>
      <c r="E18" s="4" t="str">
        <f>Raw_Data!C18</f>
        <v>Kavita Singh</v>
      </c>
      <c r="F18" s="2" t="str">
        <f>Raw_Data!D18</f>
        <v>Ahmedabad</v>
      </c>
      <c r="G18" s="4" t="str">
        <f>Raw_Data!E18</f>
        <v>Cipla Eye Drops</v>
      </c>
      <c r="H18" s="2" t="str">
        <f>Raw_Data!F18</f>
        <v>Drops</v>
      </c>
      <c r="I18" s="2">
        <f>Raw_Data!G18</f>
        <v>1</v>
      </c>
      <c r="J18" s="5">
        <f>Raw_Data!H18</f>
        <v>70</v>
      </c>
      <c r="K18" s="5">
        <f>Raw_Data!I18</f>
        <v>31.5</v>
      </c>
      <c r="L18" s="5">
        <f>Raw_Data!J18</f>
        <v>70</v>
      </c>
      <c r="M18" s="6">
        <f>Raw_Data!K18</f>
        <v>0</v>
      </c>
      <c r="N18" s="5">
        <f>Raw_Data!L18</f>
        <v>70</v>
      </c>
      <c r="O18" s="5">
        <f t="shared" si="0"/>
        <v>38.5</v>
      </c>
      <c r="P18" s="13">
        <f t="shared" si="1"/>
        <v>0.55000000000000004</v>
      </c>
      <c r="Q18" s="2" t="str">
        <f>Raw_Data!M18</f>
        <v>UPI</v>
      </c>
      <c r="R18" s="2" t="str">
        <f>Raw_Data!N18</f>
        <v>No</v>
      </c>
    </row>
    <row r="19" spans="1:18" x14ac:dyDescent="0.25">
      <c r="A19" s="7" t="str">
        <f>Raw_Data!A19</f>
        <v>ORD-0018</v>
      </c>
      <c r="B19" s="8">
        <f>Raw_Data!B19</f>
        <v>45321</v>
      </c>
      <c r="C19" s="7" t="str">
        <f>TEXT(Raw_Data!B19,"MMM")</f>
        <v>Jan</v>
      </c>
      <c r="D19" s="7">
        <f>YEAR(Raw_Data!B19)</f>
        <v>2024</v>
      </c>
      <c r="E19" s="9" t="str">
        <f>Raw_Data!C19</f>
        <v>Swati Dubey</v>
      </c>
      <c r="F19" s="7" t="str">
        <f>Raw_Data!D19</f>
        <v>Delhi</v>
      </c>
      <c r="G19" s="9" t="str">
        <f>Raw_Data!E19</f>
        <v>Antacid Syrup</v>
      </c>
      <c r="H19" s="7" t="str">
        <f>Raw_Data!F19</f>
        <v>Syrup</v>
      </c>
      <c r="I19" s="7">
        <f>Raw_Data!G19</f>
        <v>3</v>
      </c>
      <c r="J19" s="10">
        <f>Raw_Data!H19</f>
        <v>80</v>
      </c>
      <c r="K19" s="10">
        <f>Raw_Data!I19</f>
        <v>38.4</v>
      </c>
      <c r="L19" s="10">
        <f>Raw_Data!J19</f>
        <v>240</v>
      </c>
      <c r="M19" s="11">
        <f>Raw_Data!K19</f>
        <v>15</v>
      </c>
      <c r="N19" s="10">
        <f>Raw_Data!L19</f>
        <v>204</v>
      </c>
      <c r="O19" s="10">
        <f t="shared" si="0"/>
        <v>124.80000000000001</v>
      </c>
      <c r="P19" s="14">
        <f t="shared" si="1"/>
        <v>0.52</v>
      </c>
      <c r="Q19" s="7" t="str">
        <f>Raw_Data!M19</f>
        <v>UPI</v>
      </c>
      <c r="R19" s="7" t="str">
        <f>Raw_Data!N19</f>
        <v>No</v>
      </c>
    </row>
    <row r="20" spans="1:18" x14ac:dyDescent="0.25">
      <c r="A20" s="2" t="str">
        <f>Raw_Data!A20</f>
        <v>ORD-0019</v>
      </c>
      <c r="B20" s="3">
        <f>Raw_Data!B20</f>
        <v>45356</v>
      </c>
      <c r="C20" s="2" t="str">
        <f>TEXT(Raw_Data!B20,"MMM")</f>
        <v>Mar</v>
      </c>
      <c r="D20" s="2">
        <f>YEAR(Raw_Data!B20)</f>
        <v>2024</v>
      </c>
      <c r="E20" s="4" t="str">
        <f>Raw_Data!C20</f>
        <v>Rohit Nair</v>
      </c>
      <c r="F20" s="2" t="str">
        <f>Raw_Data!D20</f>
        <v>Jaipur</v>
      </c>
      <c r="G20" s="4" t="str">
        <f>Raw_Data!E20</f>
        <v>Cetirizine Syrup</v>
      </c>
      <c r="H20" s="2" t="str">
        <f>Raw_Data!F20</f>
        <v>Syrup</v>
      </c>
      <c r="I20" s="2">
        <f>Raw_Data!G20</f>
        <v>6</v>
      </c>
      <c r="J20" s="5">
        <f>Raw_Data!H20</f>
        <v>55</v>
      </c>
      <c r="K20" s="5">
        <f>Raw_Data!I20</f>
        <v>26.4</v>
      </c>
      <c r="L20" s="5">
        <f>Raw_Data!J20</f>
        <v>330</v>
      </c>
      <c r="M20" s="6">
        <f>Raw_Data!K20</f>
        <v>5</v>
      </c>
      <c r="N20" s="5">
        <f>Raw_Data!L20</f>
        <v>313.5</v>
      </c>
      <c r="O20" s="5">
        <f t="shared" si="0"/>
        <v>171.60000000000002</v>
      </c>
      <c r="P20" s="13">
        <f t="shared" si="1"/>
        <v>0.52</v>
      </c>
      <c r="Q20" s="2" t="str">
        <f>Raw_Data!M20</f>
        <v>UPI</v>
      </c>
      <c r="R20" s="2" t="str">
        <f>Raw_Data!N20</f>
        <v>No</v>
      </c>
    </row>
    <row r="21" spans="1:18" x14ac:dyDescent="0.25">
      <c r="A21" s="7" t="str">
        <f>Raw_Data!A21</f>
        <v>ORD-0020</v>
      </c>
      <c r="B21" s="8">
        <f>Raw_Data!B21</f>
        <v>45568</v>
      </c>
      <c r="C21" s="7" t="str">
        <f>TEXT(Raw_Data!B21,"MMM")</f>
        <v>Oct</v>
      </c>
      <c r="D21" s="7">
        <f>YEAR(Raw_Data!B21)</f>
        <v>2024</v>
      </c>
      <c r="E21" s="9" t="str">
        <f>Raw_Data!C21</f>
        <v>Sanjay Nair</v>
      </c>
      <c r="F21" s="7" t="str">
        <f>Raw_Data!D21</f>
        <v>Hyderabad</v>
      </c>
      <c r="G21" s="9" t="str">
        <f>Raw_Data!E21</f>
        <v>Antifungal Powder</v>
      </c>
      <c r="H21" s="7" t="str">
        <f>Raw_Data!F21</f>
        <v>Powder</v>
      </c>
      <c r="I21" s="7">
        <f>Raw_Data!G21</f>
        <v>10</v>
      </c>
      <c r="J21" s="10">
        <f>Raw_Data!H21</f>
        <v>55</v>
      </c>
      <c r="K21" s="10">
        <f>Raw_Data!I21</f>
        <v>30.25</v>
      </c>
      <c r="L21" s="10">
        <f>Raw_Data!J21</f>
        <v>550</v>
      </c>
      <c r="M21" s="11">
        <f>Raw_Data!K21</f>
        <v>10</v>
      </c>
      <c r="N21" s="10">
        <f>Raw_Data!L21</f>
        <v>495</v>
      </c>
      <c r="O21" s="10">
        <f t="shared" si="0"/>
        <v>247.5</v>
      </c>
      <c r="P21" s="14">
        <f t="shared" si="1"/>
        <v>0.45</v>
      </c>
      <c r="Q21" s="7" t="str">
        <f>Raw_Data!M21</f>
        <v>UPI</v>
      </c>
      <c r="R21" s="7" t="str">
        <f>Raw_Data!N21</f>
        <v>No</v>
      </c>
    </row>
    <row r="22" spans="1:18" x14ac:dyDescent="0.25">
      <c r="A22" s="2" t="str">
        <f>Raw_Data!A22</f>
        <v>ORD-0021</v>
      </c>
      <c r="B22" s="3">
        <f>Raw_Data!B22</f>
        <v>45556</v>
      </c>
      <c r="C22" s="2" t="str">
        <f>TEXT(Raw_Data!B22,"MMM")</f>
        <v>Sep</v>
      </c>
      <c r="D22" s="2">
        <f>YEAR(Raw_Data!B22)</f>
        <v>2024</v>
      </c>
      <c r="E22" s="4" t="str">
        <f>Raw_Data!C22</f>
        <v>Deepa Rao</v>
      </c>
      <c r="F22" s="2" t="str">
        <f>Raw_Data!D22</f>
        <v>Hyderabad</v>
      </c>
      <c r="G22" s="4" t="str">
        <f>Raw_Data!E22</f>
        <v>Omeprazole 20mg</v>
      </c>
      <c r="H22" s="2" t="str">
        <f>Raw_Data!F22</f>
        <v>Capsule</v>
      </c>
      <c r="I22" s="2">
        <f>Raw_Data!G22</f>
        <v>8</v>
      </c>
      <c r="J22" s="5">
        <f>Raw_Data!H22</f>
        <v>40</v>
      </c>
      <c r="K22" s="5">
        <f>Raw_Data!I22</f>
        <v>20</v>
      </c>
      <c r="L22" s="5">
        <f>Raw_Data!J22</f>
        <v>320</v>
      </c>
      <c r="M22" s="6">
        <f>Raw_Data!K22</f>
        <v>0</v>
      </c>
      <c r="N22" s="5">
        <f>Raw_Data!L22</f>
        <v>320</v>
      </c>
      <c r="O22" s="5">
        <f t="shared" si="0"/>
        <v>160</v>
      </c>
      <c r="P22" s="13">
        <f t="shared" si="1"/>
        <v>0.5</v>
      </c>
      <c r="Q22" s="2" t="str">
        <f>Raw_Data!M22</f>
        <v>Card</v>
      </c>
      <c r="R22" s="2" t="str">
        <f>Raw_Data!N22</f>
        <v>Yes</v>
      </c>
    </row>
    <row r="23" spans="1:18" x14ac:dyDescent="0.25">
      <c r="A23" s="7" t="str">
        <f>Raw_Data!A23</f>
        <v>ORD-0022</v>
      </c>
      <c r="B23" s="8">
        <f>Raw_Data!B23</f>
        <v>45404</v>
      </c>
      <c r="C23" s="7" t="str">
        <f>TEXT(Raw_Data!B23,"MMM")</f>
        <v>Apr</v>
      </c>
      <c r="D23" s="7">
        <f>YEAR(Raw_Data!B23)</f>
        <v>2024</v>
      </c>
      <c r="E23" s="9" t="str">
        <f>Raw_Data!C23</f>
        <v>Amit Verma</v>
      </c>
      <c r="F23" s="7" t="str">
        <f>Raw_Data!D23</f>
        <v>Mumbai</v>
      </c>
      <c r="G23" s="9" t="str">
        <f>Raw_Data!E23</f>
        <v>Amoxicillin 250mg</v>
      </c>
      <c r="H23" s="7" t="str">
        <f>Raw_Data!F23</f>
        <v>Tablet</v>
      </c>
      <c r="I23" s="7">
        <f>Raw_Data!G23</f>
        <v>8</v>
      </c>
      <c r="J23" s="10">
        <f>Raw_Data!H23</f>
        <v>85</v>
      </c>
      <c r="K23" s="10">
        <f>Raw_Data!I23</f>
        <v>44.2</v>
      </c>
      <c r="L23" s="10">
        <f>Raw_Data!J23</f>
        <v>680</v>
      </c>
      <c r="M23" s="11">
        <f>Raw_Data!K23</f>
        <v>0</v>
      </c>
      <c r="N23" s="10">
        <f>Raw_Data!L23</f>
        <v>680</v>
      </c>
      <c r="O23" s="10">
        <f t="shared" si="0"/>
        <v>326.39999999999998</v>
      </c>
      <c r="P23" s="14">
        <f t="shared" si="1"/>
        <v>0.48</v>
      </c>
      <c r="Q23" s="7" t="str">
        <f>Raw_Data!M23</f>
        <v>UPI</v>
      </c>
      <c r="R23" s="7" t="str">
        <f>Raw_Data!N23</f>
        <v>No</v>
      </c>
    </row>
    <row r="24" spans="1:18" x14ac:dyDescent="0.25">
      <c r="A24" s="2" t="str">
        <f>Raw_Data!A24</f>
        <v>ORD-0023</v>
      </c>
      <c r="B24" s="3">
        <f>Raw_Data!B24</f>
        <v>45413</v>
      </c>
      <c r="C24" s="2" t="str">
        <f>TEXT(Raw_Data!B24,"MMM")</f>
        <v>May</v>
      </c>
      <c r="D24" s="2">
        <f>YEAR(Raw_Data!B24)</f>
        <v>2024</v>
      </c>
      <c r="E24" s="4" t="str">
        <f>Raw_Data!C24</f>
        <v>Vijay Shah</v>
      </c>
      <c r="F24" s="2" t="str">
        <f>Raw_Data!D24</f>
        <v>Hyderabad</v>
      </c>
      <c r="G24" s="4" t="str">
        <f>Raw_Data!E24</f>
        <v>Vitamin B12 Inj</v>
      </c>
      <c r="H24" s="2" t="str">
        <f>Raw_Data!F24</f>
        <v>Injection</v>
      </c>
      <c r="I24" s="2">
        <f>Raw_Data!G24</f>
        <v>18</v>
      </c>
      <c r="J24" s="5">
        <f>Raw_Data!H24</f>
        <v>60</v>
      </c>
      <c r="K24" s="5">
        <f>Raw_Data!I24</f>
        <v>36</v>
      </c>
      <c r="L24" s="5">
        <f>Raw_Data!J24</f>
        <v>1080</v>
      </c>
      <c r="M24" s="6">
        <f>Raw_Data!K24</f>
        <v>0</v>
      </c>
      <c r="N24" s="5">
        <f>Raw_Data!L24</f>
        <v>1080</v>
      </c>
      <c r="O24" s="5">
        <f t="shared" si="0"/>
        <v>432</v>
      </c>
      <c r="P24" s="13">
        <f t="shared" si="1"/>
        <v>0.4</v>
      </c>
      <c r="Q24" s="2" t="str">
        <f>Raw_Data!M24</f>
        <v>UPI</v>
      </c>
      <c r="R24" s="2" t="str">
        <f>Raw_Data!N24</f>
        <v>Yes</v>
      </c>
    </row>
    <row r="25" spans="1:18" x14ac:dyDescent="0.25">
      <c r="A25" s="7" t="str">
        <f>Raw_Data!A25</f>
        <v>ORD-0024</v>
      </c>
      <c r="B25" s="8">
        <f>Raw_Data!B25</f>
        <v>45416</v>
      </c>
      <c r="C25" s="7" t="str">
        <f>TEXT(Raw_Data!B25,"MMM")</f>
        <v>May</v>
      </c>
      <c r="D25" s="7">
        <f>YEAR(Raw_Data!B25)</f>
        <v>2024</v>
      </c>
      <c r="E25" s="9" t="str">
        <f>Raw_Data!C25</f>
        <v>Pooja Mehta</v>
      </c>
      <c r="F25" s="7" t="str">
        <f>Raw_Data!D25</f>
        <v>Kolkata</v>
      </c>
      <c r="G25" s="9" t="str">
        <f>Raw_Data!E25</f>
        <v>Protein Supplement</v>
      </c>
      <c r="H25" s="7" t="str">
        <f>Raw_Data!F25</f>
        <v>Powder</v>
      </c>
      <c r="I25" s="7">
        <f>Raw_Data!G25</f>
        <v>7</v>
      </c>
      <c r="J25" s="10">
        <f>Raw_Data!H25</f>
        <v>450</v>
      </c>
      <c r="K25" s="10">
        <f>Raw_Data!I25</f>
        <v>247.5</v>
      </c>
      <c r="L25" s="10">
        <f>Raw_Data!J25</f>
        <v>3150</v>
      </c>
      <c r="M25" s="11">
        <f>Raw_Data!K25</f>
        <v>0</v>
      </c>
      <c r="N25" s="10">
        <f>Raw_Data!L25</f>
        <v>3150</v>
      </c>
      <c r="O25" s="10">
        <f t="shared" si="0"/>
        <v>1417.5</v>
      </c>
      <c r="P25" s="14">
        <f t="shared" si="1"/>
        <v>0.45</v>
      </c>
      <c r="Q25" s="7" t="str">
        <f>Raw_Data!M25</f>
        <v>Card</v>
      </c>
      <c r="R25" s="7" t="str">
        <f>Raw_Data!N25</f>
        <v>Yes</v>
      </c>
    </row>
    <row r="26" spans="1:18" x14ac:dyDescent="0.25">
      <c r="A26" s="2" t="str">
        <f>Raw_Data!A26</f>
        <v>ORD-0025</v>
      </c>
      <c r="B26" s="3">
        <f>Raw_Data!B26</f>
        <v>45531</v>
      </c>
      <c r="C26" s="2" t="str">
        <f>TEXT(Raw_Data!B26,"MMM")</f>
        <v>Aug</v>
      </c>
      <c r="D26" s="2">
        <f>YEAR(Raw_Data!B26)</f>
        <v>2024</v>
      </c>
      <c r="E26" s="4" t="str">
        <f>Raw_Data!C26</f>
        <v>Sunita Singh</v>
      </c>
      <c r="F26" s="2" t="str">
        <f>Raw_Data!D26</f>
        <v>Mumbai</v>
      </c>
      <c r="G26" s="4" t="str">
        <f>Raw_Data!E26</f>
        <v>Antifungal Powder</v>
      </c>
      <c r="H26" s="2" t="str">
        <f>Raw_Data!F26</f>
        <v>Powder</v>
      </c>
      <c r="I26" s="2">
        <f>Raw_Data!G26</f>
        <v>4</v>
      </c>
      <c r="J26" s="5">
        <f>Raw_Data!H26</f>
        <v>55</v>
      </c>
      <c r="K26" s="5">
        <f>Raw_Data!I26</f>
        <v>30.25</v>
      </c>
      <c r="L26" s="5">
        <f>Raw_Data!J26</f>
        <v>220</v>
      </c>
      <c r="M26" s="6">
        <f>Raw_Data!K26</f>
        <v>0</v>
      </c>
      <c r="N26" s="5">
        <f>Raw_Data!L26</f>
        <v>220</v>
      </c>
      <c r="O26" s="5">
        <f t="shared" si="0"/>
        <v>99</v>
      </c>
      <c r="P26" s="13">
        <f t="shared" si="1"/>
        <v>0.45</v>
      </c>
      <c r="Q26" s="2" t="str">
        <f>Raw_Data!M26</f>
        <v>Card</v>
      </c>
      <c r="R26" s="2" t="str">
        <f>Raw_Data!N26</f>
        <v>No</v>
      </c>
    </row>
    <row r="27" spans="1:18" x14ac:dyDescent="0.25">
      <c r="A27" s="7" t="str">
        <f>Raw_Data!A27</f>
        <v>ORD-0026</v>
      </c>
      <c r="B27" s="8">
        <f>Raw_Data!B27</f>
        <v>45390</v>
      </c>
      <c r="C27" s="7" t="str">
        <f>TEXT(Raw_Data!B27,"MMM")</f>
        <v>Apr</v>
      </c>
      <c r="D27" s="7">
        <f>YEAR(Raw_Data!B27)</f>
        <v>2024</v>
      </c>
      <c r="E27" s="9" t="str">
        <f>Raw_Data!C27</f>
        <v>Amit Shah</v>
      </c>
      <c r="F27" s="7" t="str">
        <f>Raw_Data!D27</f>
        <v>Ahmedabad</v>
      </c>
      <c r="G27" s="9" t="str">
        <f>Raw_Data!E27</f>
        <v>Antacid Syrup</v>
      </c>
      <c r="H27" s="7" t="str">
        <f>Raw_Data!F27</f>
        <v>Syrup</v>
      </c>
      <c r="I27" s="7">
        <f>Raw_Data!G27</f>
        <v>5</v>
      </c>
      <c r="J27" s="10">
        <f>Raw_Data!H27</f>
        <v>80</v>
      </c>
      <c r="K27" s="10">
        <f>Raw_Data!I27</f>
        <v>38.4</v>
      </c>
      <c r="L27" s="10">
        <f>Raw_Data!J27</f>
        <v>400</v>
      </c>
      <c r="M27" s="11">
        <f>Raw_Data!K27</f>
        <v>10</v>
      </c>
      <c r="N27" s="10">
        <f>Raw_Data!L27</f>
        <v>360</v>
      </c>
      <c r="O27" s="10">
        <f t="shared" si="0"/>
        <v>208</v>
      </c>
      <c r="P27" s="14">
        <f t="shared" si="1"/>
        <v>0.52</v>
      </c>
      <c r="Q27" s="7" t="str">
        <f>Raw_Data!M27</f>
        <v>Card</v>
      </c>
      <c r="R27" s="7" t="str">
        <f>Raw_Data!N27</f>
        <v>Yes</v>
      </c>
    </row>
    <row r="28" spans="1:18" x14ac:dyDescent="0.25">
      <c r="A28" s="2" t="str">
        <f>Raw_Data!A28</f>
        <v>ORD-0027</v>
      </c>
      <c r="B28" s="3">
        <f>Raw_Data!B28</f>
        <v>45573</v>
      </c>
      <c r="C28" s="2" t="str">
        <f>TEXT(Raw_Data!B28,"MMM")</f>
        <v>Oct</v>
      </c>
      <c r="D28" s="2">
        <f>YEAR(Raw_Data!B28)</f>
        <v>2024</v>
      </c>
      <c r="E28" s="4" t="str">
        <f>Raw_Data!C28</f>
        <v>Anjali Mehta</v>
      </c>
      <c r="F28" s="2" t="str">
        <f>Raw_Data!D28</f>
        <v>Jaipur</v>
      </c>
      <c r="G28" s="4" t="str">
        <f>Raw_Data!E28</f>
        <v>Paracetamol 500mg</v>
      </c>
      <c r="H28" s="2" t="str">
        <f>Raw_Data!F28</f>
        <v>Tablet</v>
      </c>
      <c r="I28" s="2">
        <f>Raw_Data!G28</f>
        <v>1</v>
      </c>
      <c r="J28" s="5">
        <f>Raw_Data!H28</f>
        <v>20</v>
      </c>
      <c r="K28" s="5">
        <f>Raw_Data!I28</f>
        <v>10.4</v>
      </c>
      <c r="L28" s="5">
        <f>Raw_Data!J28</f>
        <v>20</v>
      </c>
      <c r="M28" s="6">
        <f>Raw_Data!K28</f>
        <v>0</v>
      </c>
      <c r="N28" s="5">
        <f>Raw_Data!L28</f>
        <v>20</v>
      </c>
      <c r="O28" s="5">
        <f t="shared" si="0"/>
        <v>9.6</v>
      </c>
      <c r="P28" s="13">
        <f t="shared" si="1"/>
        <v>0.48</v>
      </c>
      <c r="Q28" s="2" t="str">
        <f>Raw_Data!M28</f>
        <v>UPI</v>
      </c>
      <c r="R28" s="2" t="str">
        <f>Raw_Data!N28</f>
        <v>No</v>
      </c>
    </row>
    <row r="29" spans="1:18" x14ac:dyDescent="0.25">
      <c r="A29" s="7" t="str">
        <f>Raw_Data!A29</f>
        <v>ORD-0028</v>
      </c>
      <c r="B29" s="8">
        <f>Raw_Data!B29</f>
        <v>45540</v>
      </c>
      <c r="C29" s="7" t="str">
        <f>TEXT(Raw_Data!B29,"MMM")</f>
        <v>Sep</v>
      </c>
      <c r="D29" s="7">
        <f>YEAR(Raw_Data!B29)</f>
        <v>2024</v>
      </c>
      <c r="E29" s="9" t="str">
        <f>Raw_Data!C29</f>
        <v>Suresh Nair</v>
      </c>
      <c r="F29" s="7" t="str">
        <f>Raw_Data!D29</f>
        <v>Kolkata</v>
      </c>
      <c r="G29" s="9" t="str">
        <f>Raw_Data!E29</f>
        <v>Doxycycline 100mg</v>
      </c>
      <c r="H29" s="7" t="str">
        <f>Raw_Data!F29</f>
        <v>Capsule</v>
      </c>
      <c r="I29" s="7">
        <f>Raw_Data!G29</f>
        <v>2</v>
      </c>
      <c r="J29" s="10">
        <f>Raw_Data!H29</f>
        <v>90</v>
      </c>
      <c r="K29" s="10">
        <f>Raw_Data!I29</f>
        <v>45</v>
      </c>
      <c r="L29" s="10">
        <f>Raw_Data!J29</f>
        <v>180</v>
      </c>
      <c r="M29" s="11">
        <f>Raw_Data!K29</f>
        <v>0</v>
      </c>
      <c r="N29" s="10">
        <f>Raw_Data!L29</f>
        <v>180</v>
      </c>
      <c r="O29" s="10">
        <f t="shared" si="0"/>
        <v>90</v>
      </c>
      <c r="P29" s="14">
        <f t="shared" si="1"/>
        <v>0.5</v>
      </c>
      <c r="Q29" s="7" t="str">
        <f>Raw_Data!M29</f>
        <v>UPI</v>
      </c>
      <c r="R29" s="7" t="str">
        <f>Raw_Data!N29</f>
        <v>Yes</v>
      </c>
    </row>
    <row r="30" spans="1:18" x14ac:dyDescent="0.25">
      <c r="A30" s="2" t="str">
        <f>Raw_Data!A30</f>
        <v>ORD-0029</v>
      </c>
      <c r="B30" s="3">
        <f>Raw_Data!B30</f>
        <v>45524</v>
      </c>
      <c r="C30" s="2" t="str">
        <f>TEXT(Raw_Data!B30,"MMM")</f>
        <v>Aug</v>
      </c>
      <c r="D30" s="2">
        <f>YEAR(Raw_Data!B30)</f>
        <v>2024</v>
      </c>
      <c r="E30" s="4" t="str">
        <f>Raw_Data!C30</f>
        <v>Priya Rao</v>
      </c>
      <c r="F30" s="2" t="str">
        <f>Raw_Data!D30</f>
        <v>Jaipur</v>
      </c>
      <c r="G30" s="4" t="str">
        <f>Raw_Data!E30</f>
        <v>Vitamin B12 Inj</v>
      </c>
      <c r="H30" s="2" t="str">
        <f>Raw_Data!F30</f>
        <v>Injection</v>
      </c>
      <c r="I30" s="2">
        <f>Raw_Data!G30</f>
        <v>16</v>
      </c>
      <c r="J30" s="5">
        <f>Raw_Data!H30</f>
        <v>60</v>
      </c>
      <c r="K30" s="5">
        <f>Raw_Data!I30</f>
        <v>36</v>
      </c>
      <c r="L30" s="5">
        <f>Raw_Data!J30</f>
        <v>960</v>
      </c>
      <c r="M30" s="6">
        <f>Raw_Data!K30</f>
        <v>0</v>
      </c>
      <c r="N30" s="5">
        <f>Raw_Data!L30</f>
        <v>960</v>
      </c>
      <c r="O30" s="5">
        <f t="shared" si="0"/>
        <v>384</v>
      </c>
      <c r="P30" s="13">
        <f t="shared" si="1"/>
        <v>0.4</v>
      </c>
      <c r="Q30" s="2" t="str">
        <f>Raw_Data!M30</f>
        <v>Cash</v>
      </c>
      <c r="R30" s="2" t="str">
        <f>Raw_Data!N30</f>
        <v>Yes</v>
      </c>
    </row>
    <row r="31" spans="1:18" x14ac:dyDescent="0.25">
      <c r="A31" s="7" t="str">
        <f>Raw_Data!A31</f>
        <v>ORD-0030</v>
      </c>
      <c r="B31" s="8">
        <f>Raw_Data!B31</f>
        <v>45569</v>
      </c>
      <c r="C31" s="7" t="str">
        <f>TEXT(Raw_Data!B31,"MMM")</f>
        <v>Oct</v>
      </c>
      <c r="D31" s="7">
        <f>YEAR(Raw_Data!B31)</f>
        <v>2024</v>
      </c>
      <c r="E31" s="9" t="str">
        <f>Raw_Data!C31</f>
        <v>Anjali Sharma</v>
      </c>
      <c r="F31" s="7" t="str">
        <f>Raw_Data!D31</f>
        <v>Mumbai</v>
      </c>
      <c r="G31" s="9" t="str">
        <f>Raw_Data!E31</f>
        <v>Ibuprofen 400mg</v>
      </c>
      <c r="H31" s="7" t="str">
        <f>Raw_Data!F31</f>
        <v>Tablet</v>
      </c>
      <c r="I31" s="7">
        <f>Raw_Data!G31</f>
        <v>2</v>
      </c>
      <c r="J31" s="10">
        <f>Raw_Data!H31</f>
        <v>30</v>
      </c>
      <c r="K31" s="10">
        <f>Raw_Data!I31</f>
        <v>15.6</v>
      </c>
      <c r="L31" s="10">
        <f>Raw_Data!J31</f>
        <v>60</v>
      </c>
      <c r="M31" s="11">
        <f>Raw_Data!K31</f>
        <v>15</v>
      </c>
      <c r="N31" s="10">
        <f>Raw_Data!L31</f>
        <v>51</v>
      </c>
      <c r="O31" s="10">
        <f t="shared" si="0"/>
        <v>28.8</v>
      </c>
      <c r="P31" s="14">
        <f t="shared" si="1"/>
        <v>0.48000000000000004</v>
      </c>
      <c r="Q31" s="7" t="str">
        <f>Raw_Data!M31</f>
        <v>UPI</v>
      </c>
      <c r="R31" s="7" t="str">
        <f>Raw_Data!N31</f>
        <v>Yes</v>
      </c>
    </row>
    <row r="32" spans="1:18" x14ac:dyDescent="0.25">
      <c r="A32" s="2" t="str">
        <f>Raw_Data!A32</f>
        <v>ORD-0031</v>
      </c>
      <c r="B32" s="3">
        <f>Raw_Data!B32</f>
        <v>45552</v>
      </c>
      <c r="C32" s="2" t="str">
        <f>TEXT(Raw_Data!B32,"MMM")</f>
        <v>Sep</v>
      </c>
      <c r="D32" s="2">
        <f>YEAR(Raw_Data!B32)</f>
        <v>2024</v>
      </c>
      <c r="E32" s="4" t="str">
        <f>Raw_Data!C32</f>
        <v>Sunita Nair</v>
      </c>
      <c r="F32" s="2" t="str">
        <f>Raw_Data!D32</f>
        <v>Delhi</v>
      </c>
      <c r="G32" s="4" t="str">
        <f>Raw_Data!E32</f>
        <v>Metformin 500mg</v>
      </c>
      <c r="H32" s="2" t="str">
        <f>Raw_Data!F32</f>
        <v>Tablet</v>
      </c>
      <c r="I32" s="2">
        <f>Raw_Data!G32</f>
        <v>20</v>
      </c>
      <c r="J32" s="5">
        <f>Raw_Data!H32</f>
        <v>45</v>
      </c>
      <c r="K32" s="5">
        <f>Raw_Data!I32</f>
        <v>23.4</v>
      </c>
      <c r="L32" s="5">
        <f>Raw_Data!J32</f>
        <v>900</v>
      </c>
      <c r="M32" s="6">
        <f>Raw_Data!K32</f>
        <v>0</v>
      </c>
      <c r="N32" s="5">
        <f>Raw_Data!L32</f>
        <v>900</v>
      </c>
      <c r="O32" s="5">
        <f t="shared" si="0"/>
        <v>432</v>
      </c>
      <c r="P32" s="13">
        <f t="shared" si="1"/>
        <v>0.48</v>
      </c>
      <c r="Q32" s="2" t="str">
        <f>Raw_Data!M32</f>
        <v>Cash</v>
      </c>
      <c r="R32" s="2" t="str">
        <f>Raw_Data!N32</f>
        <v>No</v>
      </c>
    </row>
    <row r="33" spans="1:18" x14ac:dyDescent="0.25">
      <c r="A33" s="7" t="str">
        <f>Raw_Data!A33</f>
        <v>ORD-0032</v>
      </c>
      <c r="B33" s="8">
        <f>Raw_Data!B33</f>
        <v>45583</v>
      </c>
      <c r="C33" s="7" t="str">
        <f>TEXT(Raw_Data!B33,"MMM")</f>
        <v>Oct</v>
      </c>
      <c r="D33" s="7">
        <f>YEAR(Raw_Data!B33)</f>
        <v>2024</v>
      </c>
      <c r="E33" s="9" t="str">
        <f>Raw_Data!C33</f>
        <v>Manish Joshi</v>
      </c>
      <c r="F33" s="7" t="str">
        <f>Raw_Data!D33</f>
        <v>Surat</v>
      </c>
      <c r="G33" s="9" t="str">
        <f>Raw_Data!E33</f>
        <v>Antacid Syrup</v>
      </c>
      <c r="H33" s="7" t="str">
        <f>Raw_Data!F33</f>
        <v>Syrup</v>
      </c>
      <c r="I33" s="7">
        <f>Raw_Data!G33</f>
        <v>2</v>
      </c>
      <c r="J33" s="10">
        <f>Raw_Data!H33</f>
        <v>80</v>
      </c>
      <c r="K33" s="10">
        <f>Raw_Data!I33</f>
        <v>38.4</v>
      </c>
      <c r="L33" s="10">
        <f>Raw_Data!J33</f>
        <v>160</v>
      </c>
      <c r="M33" s="11">
        <f>Raw_Data!K33</f>
        <v>0</v>
      </c>
      <c r="N33" s="10">
        <f>Raw_Data!L33</f>
        <v>160</v>
      </c>
      <c r="O33" s="10">
        <f t="shared" si="0"/>
        <v>83.2</v>
      </c>
      <c r="P33" s="14">
        <f t="shared" si="1"/>
        <v>0.52</v>
      </c>
      <c r="Q33" s="7" t="str">
        <f>Raw_Data!M33</f>
        <v>Card</v>
      </c>
      <c r="R33" s="7" t="str">
        <f>Raw_Data!N33</f>
        <v>No</v>
      </c>
    </row>
    <row r="34" spans="1:18" x14ac:dyDescent="0.25">
      <c r="A34" s="2" t="str">
        <f>Raw_Data!A34</f>
        <v>ORD-0033</v>
      </c>
      <c r="B34" s="3">
        <f>Raw_Data!B34</f>
        <v>45425</v>
      </c>
      <c r="C34" s="2" t="str">
        <f>TEXT(Raw_Data!B34,"MMM")</f>
        <v>May</v>
      </c>
      <c r="D34" s="2">
        <f>YEAR(Raw_Data!B34)</f>
        <v>2024</v>
      </c>
      <c r="E34" s="4" t="str">
        <f>Raw_Data!C34</f>
        <v>Sanjay Joshi</v>
      </c>
      <c r="F34" s="2" t="str">
        <f>Raw_Data!D34</f>
        <v>Hyderabad</v>
      </c>
      <c r="G34" s="4" t="str">
        <f>Raw_Data!E34</f>
        <v>Paracetamol Syrup</v>
      </c>
      <c r="H34" s="2" t="str">
        <f>Raw_Data!F34</f>
        <v>Syrup</v>
      </c>
      <c r="I34" s="2">
        <f>Raw_Data!G34</f>
        <v>9</v>
      </c>
      <c r="J34" s="5">
        <f>Raw_Data!H34</f>
        <v>45</v>
      </c>
      <c r="K34" s="5">
        <f>Raw_Data!I34</f>
        <v>21.6</v>
      </c>
      <c r="L34" s="5">
        <f>Raw_Data!J34</f>
        <v>405</v>
      </c>
      <c r="M34" s="6">
        <f>Raw_Data!K34</f>
        <v>10</v>
      </c>
      <c r="N34" s="5">
        <f>Raw_Data!L34</f>
        <v>364.5</v>
      </c>
      <c r="O34" s="5">
        <f t="shared" si="0"/>
        <v>210.6</v>
      </c>
      <c r="P34" s="13">
        <f t="shared" si="1"/>
        <v>0.52</v>
      </c>
      <c r="Q34" s="2" t="str">
        <f>Raw_Data!M34</f>
        <v>UPI</v>
      </c>
      <c r="R34" s="2" t="str">
        <f>Raw_Data!N34</f>
        <v>Yes</v>
      </c>
    </row>
    <row r="35" spans="1:18" x14ac:dyDescent="0.25">
      <c r="A35" s="7" t="str">
        <f>Raw_Data!A35</f>
        <v>ORD-0034</v>
      </c>
      <c r="B35" s="8">
        <f>Raw_Data!B35</f>
        <v>45329</v>
      </c>
      <c r="C35" s="7" t="str">
        <f>TEXT(Raw_Data!B35,"MMM")</f>
        <v>Feb</v>
      </c>
      <c r="D35" s="7">
        <f>YEAR(Raw_Data!B35)</f>
        <v>2024</v>
      </c>
      <c r="E35" s="9" t="str">
        <f>Raw_Data!C35</f>
        <v>Suresh Gupta</v>
      </c>
      <c r="F35" s="7" t="str">
        <f>Raw_Data!D35</f>
        <v>Surat</v>
      </c>
      <c r="G35" s="9" t="str">
        <f>Raw_Data!E35</f>
        <v>Pantoprazole 40mg</v>
      </c>
      <c r="H35" s="7" t="str">
        <f>Raw_Data!F35</f>
        <v>Tablet</v>
      </c>
      <c r="I35" s="7">
        <f>Raw_Data!G35</f>
        <v>19</v>
      </c>
      <c r="J35" s="10">
        <f>Raw_Data!H35</f>
        <v>75</v>
      </c>
      <c r="K35" s="10">
        <f>Raw_Data!I35</f>
        <v>39</v>
      </c>
      <c r="L35" s="10">
        <f>Raw_Data!J35</f>
        <v>1425</v>
      </c>
      <c r="M35" s="11">
        <f>Raw_Data!K35</f>
        <v>0</v>
      </c>
      <c r="N35" s="10">
        <f>Raw_Data!L35</f>
        <v>1425</v>
      </c>
      <c r="O35" s="10">
        <f t="shared" si="0"/>
        <v>684</v>
      </c>
      <c r="P35" s="14">
        <f t="shared" si="1"/>
        <v>0.48</v>
      </c>
      <c r="Q35" s="7" t="str">
        <f>Raw_Data!M35</f>
        <v>Cash</v>
      </c>
      <c r="R35" s="7" t="str">
        <f>Raw_Data!N35</f>
        <v>Yes</v>
      </c>
    </row>
    <row r="36" spans="1:18" x14ac:dyDescent="0.25">
      <c r="A36" s="2" t="str">
        <f>Raw_Data!A36</f>
        <v>ORD-0035</v>
      </c>
      <c r="B36" s="3">
        <f>Raw_Data!B36</f>
        <v>45470</v>
      </c>
      <c r="C36" s="2" t="str">
        <f>TEXT(Raw_Data!B36,"MMM")</f>
        <v>Jun</v>
      </c>
      <c r="D36" s="2">
        <f>YEAR(Raw_Data!B36)</f>
        <v>2024</v>
      </c>
      <c r="E36" s="4" t="str">
        <f>Raw_Data!C36</f>
        <v>Kavita Rao</v>
      </c>
      <c r="F36" s="2" t="str">
        <f>Raw_Data!D36</f>
        <v>Pune</v>
      </c>
      <c r="G36" s="4" t="str">
        <f>Raw_Data!E36</f>
        <v>Atorvastatin 10mg</v>
      </c>
      <c r="H36" s="2" t="str">
        <f>Raw_Data!F36</f>
        <v>Tablet</v>
      </c>
      <c r="I36" s="2">
        <f>Raw_Data!G36</f>
        <v>10</v>
      </c>
      <c r="J36" s="5">
        <f>Raw_Data!H36</f>
        <v>120</v>
      </c>
      <c r="K36" s="5">
        <f>Raw_Data!I36</f>
        <v>62.4</v>
      </c>
      <c r="L36" s="5">
        <f>Raw_Data!J36</f>
        <v>1200</v>
      </c>
      <c r="M36" s="6">
        <f>Raw_Data!K36</f>
        <v>0</v>
      </c>
      <c r="N36" s="5">
        <f>Raw_Data!L36</f>
        <v>1200</v>
      </c>
      <c r="O36" s="5">
        <f t="shared" si="0"/>
        <v>576</v>
      </c>
      <c r="P36" s="13">
        <f t="shared" si="1"/>
        <v>0.48</v>
      </c>
      <c r="Q36" s="2" t="str">
        <f>Raw_Data!M36</f>
        <v>Card</v>
      </c>
      <c r="R36" s="2" t="str">
        <f>Raw_Data!N36</f>
        <v>Yes</v>
      </c>
    </row>
    <row r="37" spans="1:18" x14ac:dyDescent="0.25">
      <c r="A37" s="7" t="str">
        <f>Raw_Data!A37</f>
        <v>ORD-0036</v>
      </c>
      <c r="B37" s="8">
        <f>Raw_Data!B37</f>
        <v>45626</v>
      </c>
      <c r="C37" s="7" t="str">
        <f>TEXT(Raw_Data!B37,"MMM")</f>
        <v>Nov</v>
      </c>
      <c r="D37" s="7">
        <f>YEAR(Raw_Data!B37)</f>
        <v>2024</v>
      </c>
      <c r="E37" s="9" t="str">
        <f>Raw_Data!C37</f>
        <v>Sunita Nair</v>
      </c>
      <c r="F37" s="7" t="str">
        <f>Raw_Data!D37</f>
        <v>Jaipur</v>
      </c>
      <c r="G37" s="9" t="str">
        <f>Raw_Data!E37</f>
        <v>Otrivin Nasal Drops</v>
      </c>
      <c r="H37" s="7" t="str">
        <f>Raw_Data!F37</f>
        <v>Drops</v>
      </c>
      <c r="I37" s="7">
        <f>Raw_Data!G37</f>
        <v>10</v>
      </c>
      <c r="J37" s="10">
        <f>Raw_Data!H37</f>
        <v>95</v>
      </c>
      <c r="K37" s="10">
        <f>Raw_Data!I37</f>
        <v>42.75</v>
      </c>
      <c r="L37" s="10">
        <f>Raw_Data!J37</f>
        <v>950</v>
      </c>
      <c r="M37" s="11">
        <f>Raw_Data!K37</f>
        <v>0</v>
      </c>
      <c r="N37" s="10">
        <f>Raw_Data!L37</f>
        <v>950</v>
      </c>
      <c r="O37" s="10">
        <f t="shared" si="0"/>
        <v>522.5</v>
      </c>
      <c r="P37" s="14">
        <f t="shared" si="1"/>
        <v>0.55000000000000004</v>
      </c>
      <c r="Q37" s="7" t="str">
        <f>Raw_Data!M37</f>
        <v>Cash</v>
      </c>
      <c r="R37" s="7" t="str">
        <f>Raw_Data!N37</f>
        <v>No</v>
      </c>
    </row>
    <row r="38" spans="1:18" x14ac:dyDescent="0.25">
      <c r="A38" s="2" t="str">
        <f>Raw_Data!A38</f>
        <v>ORD-0037</v>
      </c>
      <c r="B38" s="3">
        <f>Raw_Data!B38</f>
        <v>45346</v>
      </c>
      <c r="C38" s="2" t="str">
        <f>TEXT(Raw_Data!B38,"MMM")</f>
        <v>Feb</v>
      </c>
      <c r="D38" s="2">
        <f>YEAR(Raw_Data!B38)</f>
        <v>2024</v>
      </c>
      <c r="E38" s="4" t="str">
        <f>Raw_Data!C38</f>
        <v>Rohit Agarwal</v>
      </c>
      <c r="F38" s="2" t="str">
        <f>Raw_Data!D38</f>
        <v>Bangalore</v>
      </c>
      <c r="G38" s="4" t="str">
        <f>Raw_Data!E38</f>
        <v>Soframycin Cream</v>
      </c>
      <c r="H38" s="2" t="str">
        <f>Raw_Data!F38</f>
        <v>Cream</v>
      </c>
      <c r="I38" s="2">
        <f>Raw_Data!G38</f>
        <v>9</v>
      </c>
      <c r="J38" s="5">
        <f>Raw_Data!H38</f>
        <v>72</v>
      </c>
      <c r="K38" s="5">
        <f>Raw_Data!I38</f>
        <v>33.840000000000003</v>
      </c>
      <c r="L38" s="5">
        <f>Raw_Data!J38</f>
        <v>648</v>
      </c>
      <c r="M38" s="6">
        <f>Raw_Data!K38</f>
        <v>5</v>
      </c>
      <c r="N38" s="5">
        <f>Raw_Data!L38</f>
        <v>615.6</v>
      </c>
      <c r="O38" s="5">
        <f t="shared" si="0"/>
        <v>343.43999999999994</v>
      </c>
      <c r="P38" s="13">
        <f t="shared" si="1"/>
        <v>0.52999999999999992</v>
      </c>
      <c r="Q38" s="2" t="str">
        <f>Raw_Data!M38</f>
        <v>UPI</v>
      </c>
      <c r="R38" s="2" t="str">
        <f>Raw_Data!N38</f>
        <v>No</v>
      </c>
    </row>
    <row r="39" spans="1:18" x14ac:dyDescent="0.25">
      <c r="A39" s="7" t="str">
        <f>Raw_Data!A39</f>
        <v>ORD-0038</v>
      </c>
      <c r="B39" s="8">
        <f>Raw_Data!B39</f>
        <v>45616</v>
      </c>
      <c r="C39" s="7" t="str">
        <f>TEXT(Raw_Data!B39,"MMM")</f>
        <v>Nov</v>
      </c>
      <c r="D39" s="7">
        <f>YEAR(Raw_Data!B39)</f>
        <v>2024</v>
      </c>
      <c r="E39" s="9" t="str">
        <f>Raw_Data!C39</f>
        <v>Amit Agarwal</v>
      </c>
      <c r="F39" s="7" t="str">
        <f>Raw_Data!D39</f>
        <v>Jaipur</v>
      </c>
      <c r="G39" s="9" t="str">
        <f>Raw_Data!E39</f>
        <v>Protein Supplement</v>
      </c>
      <c r="H39" s="7" t="str">
        <f>Raw_Data!F39</f>
        <v>Powder</v>
      </c>
      <c r="I39" s="7">
        <f>Raw_Data!G39</f>
        <v>16</v>
      </c>
      <c r="J39" s="10">
        <f>Raw_Data!H39</f>
        <v>450</v>
      </c>
      <c r="K39" s="10">
        <f>Raw_Data!I39</f>
        <v>247.5</v>
      </c>
      <c r="L39" s="10">
        <f>Raw_Data!J39</f>
        <v>7200</v>
      </c>
      <c r="M39" s="11">
        <f>Raw_Data!K39</f>
        <v>5</v>
      </c>
      <c r="N39" s="10">
        <f>Raw_Data!L39</f>
        <v>6840</v>
      </c>
      <c r="O39" s="10">
        <f t="shared" si="0"/>
        <v>3240</v>
      </c>
      <c r="P39" s="14">
        <f t="shared" si="1"/>
        <v>0.45</v>
      </c>
      <c r="Q39" s="7" t="str">
        <f>Raw_Data!M39</f>
        <v>UPI</v>
      </c>
      <c r="R39" s="7" t="str">
        <f>Raw_Data!N39</f>
        <v>No</v>
      </c>
    </row>
    <row r="40" spans="1:18" x14ac:dyDescent="0.25">
      <c r="A40" s="2" t="str">
        <f>Raw_Data!A40</f>
        <v>ORD-0039</v>
      </c>
      <c r="B40" s="3">
        <f>Raw_Data!B40</f>
        <v>45508</v>
      </c>
      <c r="C40" s="2" t="str">
        <f>TEXT(Raw_Data!B40,"MMM")</f>
        <v>Aug</v>
      </c>
      <c r="D40" s="2">
        <f>YEAR(Raw_Data!B40)</f>
        <v>2024</v>
      </c>
      <c r="E40" s="4" t="str">
        <f>Raw_Data!C40</f>
        <v>Suresh Gupta</v>
      </c>
      <c r="F40" s="2" t="str">
        <f>Raw_Data!D40</f>
        <v>Mumbai</v>
      </c>
      <c r="G40" s="4" t="str">
        <f>Raw_Data!E40</f>
        <v>Protein Supplement</v>
      </c>
      <c r="H40" s="2" t="str">
        <f>Raw_Data!F40</f>
        <v>Powder</v>
      </c>
      <c r="I40" s="2">
        <f>Raw_Data!G40</f>
        <v>1</v>
      </c>
      <c r="J40" s="5">
        <f>Raw_Data!H40</f>
        <v>450</v>
      </c>
      <c r="K40" s="5">
        <f>Raw_Data!I40</f>
        <v>247.5</v>
      </c>
      <c r="L40" s="5">
        <f>Raw_Data!J40</f>
        <v>450</v>
      </c>
      <c r="M40" s="6">
        <f>Raw_Data!K40</f>
        <v>10</v>
      </c>
      <c r="N40" s="5">
        <f>Raw_Data!L40</f>
        <v>405</v>
      </c>
      <c r="O40" s="5">
        <f t="shared" si="0"/>
        <v>202.5</v>
      </c>
      <c r="P40" s="13">
        <f t="shared" si="1"/>
        <v>0.45</v>
      </c>
      <c r="Q40" s="2" t="str">
        <f>Raw_Data!M40</f>
        <v>UPI</v>
      </c>
      <c r="R40" s="2" t="str">
        <f>Raw_Data!N40</f>
        <v>No</v>
      </c>
    </row>
    <row r="41" spans="1:18" x14ac:dyDescent="0.25">
      <c r="A41" s="7" t="str">
        <f>Raw_Data!A41</f>
        <v>ORD-0040</v>
      </c>
      <c r="B41" s="8">
        <f>Raw_Data!B41</f>
        <v>45518</v>
      </c>
      <c r="C41" s="7" t="str">
        <f>TEXT(Raw_Data!B41,"MMM")</f>
        <v>Aug</v>
      </c>
      <c r="D41" s="7">
        <f>YEAR(Raw_Data!B41)</f>
        <v>2024</v>
      </c>
      <c r="E41" s="9" t="str">
        <f>Raw_Data!C41</f>
        <v>Vikram Verma</v>
      </c>
      <c r="F41" s="7" t="str">
        <f>Raw_Data!D41</f>
        <v>Kolkata</v>
      </c>
      <c r="G41" s="9" t="str">
        <f>Raw_Data!E41</f>
        <v>Refresh Tears</v>
      </c>
      <c r="H41" s="7" t="str">
        <f>Raw_Data!F41</f>
        <v>Drops</v>
      </c>
      <c r="I41" s="7">
        <f>Raw_Data!G41</f>
        <v>18</v>
      </c>
      <c r="J41" s="10">
        <f>Raw_Data!H41</f>
        <v>110</v>
      </c>
      <c r="K41" s="10">
        <f>Raw_Data!I41</f>
        <v>49.5</v>
      </c>
      <c r="L41" s="10">
        <f>Raw_Data!J41</f>
        <v>1980</v>
      </c>
      <c r="M41" s="11">
        <f>Raw_Data!K41</f>
        <v>0</v>
      </c>
      <c r="N41" s="10">
        <f>Raw_Data!L41</f>
        <v>1980</v>
      </c>
      <c r="O41" s="10">
        <f t="shared" si="0"/>
        <v>1089</v>
      </c>
      <c r="P41" s="14">
        <f t="shared" si="1"/>
        <v>0.55000000000000004</v>
      </c>
      <c r="Q41" s="7" t="str">
        <f>Raw_Data!M41</f>
        <v>UPI</v>
      </c>
      <c r="R41" s="7" t="str">
        <f>Raw_Data!N41</f>
        <v>Yes</v>
      </c>
    </row>
    <row r="42" spans="1:18" x14ac:dyDescent="0.25">
      <c r="A42" s="2" t="str">
        <f>Raw_Data!A42</f>
        <v>ORD-0041</v>
      </c>
      <c r="B42" s="3">
        <f>Raw_Data!B42</f>
        <v>45310</v>
      </c>
      <c r="C42" s="2" t="str">
        <f>TEXT(Raw_Data!B42,"MMM")</f>
        <v>Jan</v>
      </c>
      <c r="D42" s="2">
        <f>YEAR(Raw_Data!B42)</f>
        <v>2024</v>
      </c>
      <c r="E42" s="4" t="str">
        <f>Raw_Data!C42</f>
        <v>Meera Nair</v>
      </c>
      <c r="F42" s="2" t="str">
        <f>Raw_Data!D42</f>
        <v>Surat</v>
      </c>
      <c r="G42" s="4" t="str">
        <f>Raw_Data!E42</f>
        <v>Protein Supplement</v>
      </c>
      <c r="H42" s="2" t="str">
        <f>Raw_Data!F42</f>
        <v>Powder</v>
      </c>
      <c r="I42" s="2">
        <f>Raw_Data!G42</f>
        <v>18</v>
      </c>
      <c r="J42" s="5">
        <f>Raw_Data!H42</f>
        <v>450</v>
      </c>
      <c r="K42" s="5">
        <f>Raw_Data!I42</f>
        <v>247.5</v>
      </c>
      <c r="L42" s="5">
        <f>Raw_Data!J42</f>
        <v>8100</v>
      </c>
      <c r="M42" s="6">
        <f>Raw_Data!K42</f>
        <v>0</v>
      </c>
      <c r="N42" s="5">
        <f>Raw_Data!L42</f>
        <v>8100</v>
      </c>
      <c r="O42" s="5">
        <f t="shared" si="0"/>
        <v>3645</v>
      </c>
      <c r="P42" s="13">
        <f t="shared" si="1"/>
        <v>0.45</v>
      </c>
      <c r="Q42" s="2" t="str">
        <f>Raw_Data!M42</f>
        <v>Cash</v>
      </c>
      <c r="R42" s="2" t="str">
        <f>Raw_Data!N42</f>
        <v>No</v>
      </c>
    </row>
    <row r="43" spans="1:18" x14ac:dyDescent="0.25">
      <c r="A43" s="7" t="str">
        <f>Raw_Data!A43</f>
        <v>ORD-0042</v>
      </c>
      <c r="B43" s="8">
        <f>Raw_Data!B43</f>
        <v>45312</v>
      </c>
      <c r="C43" s="7" t="str">
        <f>TEXT(Raw_Data!B43,"MMM")</f>
        <v>Jan</v>
      </c>
      <c r="D43" s="7">
        <f>YEAR(Raw_Data!B43)</f>
        <v>2024</v>
      </c>
      <c r="E43" s="9" t="str">
        <f>Raw_Data!C43</f>
        <v>Pooja Rao</v>
      </c>
      <c r="F43" s="7" t="str">
        <f>Raw_Data!D43</f>
        <v>Hyderabad</v>
      </c>
      <c r="G43" s="9" t="str">
        <f>Raw_Data!E43</f>
        <v>Ondansetron Inj</v>
      </c>
      <c r="H43" s="7" t="str">
        <f>Raw_Data!F43</f>
        <v>Injection</v>
      </c>
      <c r="I43" s="7">
        <f>Raw_Data!G43</f>
        <v>4</v>
      </c>
      <c r="J43" s="10">
        <f>Raw_Data!H43</f>
        <v>120</v>
      </c>
      <c r="K43" s="10">
        <f>Raw_Data!I43</f>
        <v>72</v>
      </c>
      <c r="L43" s="10">
        <f>Raw_Data!J43</f>
        <v>480</v>
      </c>
      <c r="M43" s="11">
        <f>Raw_Data!K43</f>
        <v>10</v>
      </c>
      <c r="N43" s="10">
        <f>Raw_Data!L43</f>
        <v>432</v>
      </c>
      <c r="O43" s="10">
        <f t="shared" si="0"/>
        <v>192</v>
      </c>
      <c r="P43" s="14">
        <f t="shared" si="1"/>
        <v>0.4</v>
      </c>
      <c r="Q43" s="7" t="str">
        <f>Raw_Data!M43</f>
        <v>UPI</v>
      </c>
      <c r="R43" s="7" t="str">
        <f>Raw_Data!N43</f>
        <v>Yes</v>
      </c>
    </row>
    <row r="44" spans="1:18" x14ac:dyDescent="0.25">
      <c r="A44" s="2" t="str">
        <f>Raw_Data!A44</f>
        <v>ORD-0043</v>
      </c>
      <c r="B44" s="3">
        <f>Raw_Data!B44</f>
        <v>45371</v>
      </c>
      <c r="C44" s="2" t="str">
        <f>TEXT(Raw_Data!B44,"MMM")</f>
        <v>Mar</v>
      </c>
      <c r="D44" s="2">
        <f>YEAR(Raw_Data!B44)</f>
        <v>2024</v>
      </c>
      <c r="E44" s="4" t="str">
        <f>Raw_Data!C44</f>
        <v>Pooja Dubey</v>
      </c>
      <c r="F44" s="2" t="str">
        <f>Raw_Data!D44</f>
        <v>Bangalore</v>
      </c>
      <c r="G44" s="4" t="str">
        <f>Raw_Data!E44</f>
        <v>Ambroxol Syrup</v>
      </c>
      <c r="H44" s="2" t="str">
        <f>Raw_Data!F44</f>
        <v>Syrup</v>
      </c>
      <c r="I44" s="2">
        <f>Raw_Data!G44</f>
        <v>14</v>
      </c>
      <c r="J44" s="5">
        <f>Raw_Data!H44</f>
        <v>65</v>
      </c>
      <c r="K44" s="5">
        <f>Raw_Data!I44</f>
        <v>31.2</v>
      </c>
      <c r="L44" s="5">
        <f>Raw_Data!J44</f>
        <v>910</v>
      </c>
      <c r="M44" s="6">
        <f>Raw_Data!K44</f>
        <v>0</v>
      </c>
      <c r="N44" s="5">
        <f>Raw_Data!L44</f>
        <v>910</v>
      </c>
      <c r="O44" s="5">
        <f t="shared" si="0"/>
        <v>473.2</v>
      </c>
      <c r="P44" s="13">
        <f t="shared" si="1"/>
        <v>0.52</v>
      </c>
      <c r="Q44" s="2" t="str">
        <f>Raw_Data!M44</f>
        <v>UPI</v>
      </c>
      <c r="R44" s="2" t="str">
        <f>Raw_Data!N44</f>
        <v>Yes</v>
      </c>
    </row>
    <row r="45" spans="1:18" x14ac:dyDescent="0.25">
      <c r="A45" s="7" t="str">
        <f>Raw_Data!A45</f>
        <v>ORD-0044</v>
      </c>
      <c r="B45" s="8">
        <f>Raw_Data!B45</f>
        <v>45634</v>
      </c>
      <c r="C45" s="7" t="str">
        <f>TEXT(Raw_Data!B45,"MMM")</f>
        <v>Dec</v>
      </c>
      <c r="D45" s="7">
        <f>YEAR(Raw_Data!B45)</f>
        <v>2024</v>
      </c>
      <c r="E45" s="9" t="str">
        <f>Raw_Data!C45</f>
        <v>Priya Mishra</v>
      </c>
      <c r="F45" s="7" t="str">
        <f>Raw_Data!D45</f>
        <v>Hyderabad</v>
      </c>
      <c r="G45" s="9" t="str">
        <f>Raw_Data!E45</f>
        <v>Antifungal Powder</v>
      </c>
      <c r="H45" s="7" t="str">
        <f>Raw_Data!F45</f>
        <v>Powder</v>
      </c>
      <c r="I45" s="7">
        <f>Raw_Data!G45</f>
        <v>9</v>
      </c>
      <c r="J45" s="10">
        <f>Raw_Data!H45</f>
        <v>55</v>
      </c>
      <c r="K45" s="10">
        <f>Raw_Data!I45</f>
        <v>30.25</v>
      </c>
      <c r="L45" s="10">
        <f>Raw_Data!J45</f>
        <v>495</v>
      </c>
      <c r="M45" s="11">
        <f>Raw_Data!K45</f>
        <v>0</v>
      </c>
      <c r="N45" s="10">
        <f>Raw_Data!L45</f>
        <v>495</v>
      </c>
      <c r="O45" s="10">
        <f t="shared" si="0"/>
        <v>222.75</v>
      </c>
      <c r="P45" s="14">
        <f t="shared" si="1"/>
        <v>0.45</v>
      </c>
      <c r="Q45" s="7" t="str">
        <f>Raw_Data!M45</f>
        <v>Cash</v>
      </c>
      <c r="R45" s="7" t="str">
        <f>Raw_Data!N45</f>
        <v>No</v>
      </c>
    </row>
    <row r="46" spans="1:18" x14ac:dyDescent="0.25">
      <c r="A46" s="2" t="str">
        <f>Raw_Data!A46</f>
        <v>ORD-0045</v>
      </c>
      <c r="B46" s="3">
        <f>Raw_Data!B46</f>
        <v>45532</v>
      </c>
      <c r="C46" s="2" t="str">
        <f>TEXT(Raw_Data!B46,"MMM")</f>
        <v>Aug</v>
      </c>
      <c r="D46" s="2">
        <f>YEAR(Raw_Data!B46)</f>
        <v>2024</v>
      </c>
      <c r="E46" s="4" t="str">
        <f>Raw_Data!C46</f>
        <v>Deepa Sharma</v>
      </c>
      <c r="F46" s="2" t="str">
        <f>Raw_Data!D46</f>
        <v>Ahmedabad</v>
      </c>
      <c r="G46" s="4" t="str">
        <f>Raw_Data!E46</f>
        <v>Ambroxol Syrup</v>
      </c>
      <c r="H46" s="2" t="str">
        <f>Raw_Data!F46</f>
        <v>Syrup</v>
      </c>
      <c r="I46" s="2">
        <f>Raw_Data!G46</f>
        <v>12</v>
      </c>
      <c r="J46" s="5">
        <f>Raw_Data!H46</f>
        <v>65</v>
      </c>
      <c r="K46" s="5">
        <f>Raw_Data!I46</f>
        <v>31.2</v>
      </c>
      <c r="L46" s="5">
        <f>Raw_Data!J46</f>
        <v>780</v>
      </c>
      <c r="M46" s="6">
        <f>Raw_Data!K46</f>
        <v>5</v>
      </c>
      <c r="N46" s="5">
        <f>Raw_Data!L46</f>
        <v>741</v>
      </c>
      <c r="O46" s="5">
        <f t="shared" si="0"/>
        <v>405.6</v>
      </c>
      <c r="P46" s="13">
        <f t="shared" si="1"/>
        <v>0.52</v>
      </c>
      <c r="Q46" s="2" t="str">
        <f>Raw_Data!M46</f>
        <v>UPI</v>
      </c>
      <c r="R46" s="2" t="str">
        <f>Raw_Data!N46</f>
        <v>No</v>
      </c>
    </row>
    <row r="47" spans="1:18" x14ac:dyDescent="0.25">
      <c r="A47" s="7" t="str">
        <f>Raw_Data!A47</f>
        <v>ORD-0046</v>
      </c>
      <c r="B47" s="8">
        <f>Raw_Data!B47</f>
        <v>45629</v>
      </c>
      <c r="C47" s="7" t="str">
        <f>TEXT(Raw_Data!B47,"MMM")</f>
        <v>Dec</v>
      </c>
      <c r="D47" s="7">
        <f>YEAR(Raw_Data!B47)</f>
        <v>2024</v>
      </c>
      <c r="E47" s="9" t="str">
        <f>Raw_Data!C47</f>
        <v>Manish Mehta</v>
      </c>
      <c r="F47" s="7" t="str">
        <f>Raw_Data!D47</f>
        <v>Pune</v>
      </c>
      <c r="G47" s="9" t="str">
        <f>Raw_Data!E47</f>
        <v>Cetirizine Syrup</v>
      </c>
      <c r="H47" s="7" t="str">
        <f>Raw_Data!F47</f>
        <v>Syrup</v>
      </c>
      <c r="I47" s="7">
        <f>Raw_Data!G47</f>
        <v>9</v>
      </c>
      <c r="J47" s="10">
        <f>Raw_Data!H47</f>
        <v>55</v>
      </c>
      <c r="K47" s="10">
        <f>Raw_Data!I47</f>
        <v>26.4</v>
      </c>
      <c r="L47" s="10">
        <f>Raw_Data!J47</f>
        <v>495</v>
      </c>
      <c r="M47" s="11">
        <f>Raw_Data!K47</f>
        <v>0</v>
      </c>
      <c r="N47" s="10">
        <f>Raw_Data!L47</f>
        <v>495</v>
      </c>
      <c r="O47" s="10">
        <f t="shared" si="0"/>
        <v>257.39999999999998</v>
      </c>
      <c r="P47" s="14">
        <f t="shared" si="1"/>
        <v>0.51999999999999991</v>
      </c>
      <c r="Q47" s="7" t="str">
        <f>Raw_Data!M47</f>
        <v>Cash</v>
      </c>
      <c r="R47" s="7" t="str">
        <f>Raw_Data!N47</f>
        <v>No</v>
      </c>
    </row>
    <row r="48" spans="1:18" x14ac:dyDescent="0.25">
      <c r="A48" s="2" t="str">
        <f>Raw_Data!A48</f>
        <v>ORD-0047</v>
      </c>
      <c r="B48" s="3">
        <f>Raw_Data!B48</f>
        <v>45639</v>
      </c>
      <c r="C48" s="2" t="str">
        <f>TEXT(Raw_Data!B48,"MMM")</f>
        <v>Dec</v>
      </c>
      <c r="D48" s="2">
        <f>YEAR(Raw_Data!B48)</f>
        <v>2024</v>
      </c>
      <c r="E48" s="4" t="str">
        <f>Raw_Data!C48</f>
        <v>Vijay Kumar</v>
      </c>
      <c r="F48" s="2" t="str">
        <f>Raw_Data!D48</f>
        <v>Pune</v>
      </c>
      <c r="G48" s="4" t="str">
        <f>Raw_Data!E48</f>
        <v>Antifungal Powder</v>
      </c>
      <c r="H48" s="2" t="str">
        <f>Raw_Data!F48</f>
        <v>Powder</v>
      </c>
      <c r="I48" s="2">
        <f>Raw_Data!G48</f>
        <v>1</v>
      </c>
      <c r="J48" s="5">
        <f>Raw_Data!H48</f>
        <v>55</v>
      </c>
      <c r="K48" s="5">
        <f>Raw_Data!I48</f>
        <v>30.25</v>
      </c>
      <c r="L48" s="5">
        <f>Raw_Data!J48</f>
        <v>55</v>
      </c>
      <c r="M48" s="6">
        <f>Raw_Data!K48</f>
        <v>0</v>
      </c>
      <c r="N48" s="5">
        <f>Raw_Data!L48</f>
        <v>55</v>
      </c>
      <c r="O48" s="5">
        <f t="shared" si="0"/>
        <v>24.75</v>
      </c>
      <c r="P48" s="13">
        <f t="shared" si="1"/>
        <v>0.45</v>
      </c>
      <c r="Q48" s="2" t="str">
        <f>Raw_Data!M48</f>
        <v>Cash</v>
      </c>
      <c r="R48" s="2" t="str">
        <f>Raw_Data!N48</f>
        <v>No</v>
      </c>
    </row>
    <row r="49" spans="1:18" x14ac:dyDescent="0.25">
      <c r="A49" s="7" t="str">
        <f>Raw_Data!A49</f>
        <v>ORD-0048</v>
      </c>
      <c r="B49" s="8">
        <f>Raw_Data!B49</f>
        <v>45311</v>
      </c>
      <c r="C49" s="7" t="str">
        <f>TEXT(Raw_Data!B49,"MMM")</f>
        <v>Jan</v>
      </c>
      <c r="D49" s="7">
        <f>YEAR(Raw_Data!B49)</f>
        <v>2024</v>
      </c>
      <c r="E49" s="9" t="str">
        <f>Raw_Data!C49</f>
        <v>Sunita Mehta</v>
      </c>
      <c r="F49" s="7" t="str">
        <f>Raw_Data!D49</f>
        <v>Kolkata</v>
      </c>
      <c r="G49" s="9" t="str">
        <f>Raw_Data!E49</f>
        <v>Losartan 50mg</v>
      </c>
      <c r="H49" s="7" t="str">
        <f>Raw_Data!F49</f>
        <v>Tablet</v>
      </c>
      <c r="I49" s="7">
        <f>Raw_Data!G49</f>
        <v>12</v>
      </c>
      <c r="J49" s="10">
        <f>Raw_Data!H49</f>
        <v>95</v>
      </c>
      <c r="K49" s="10">
        <f>Raw_Data!I49</f>
        <v>49.4</v>
      </c>
      <c r="L49" s="10">
        <f>Raw_Data!J49</f>
        <v>1140</v>
      </c>
      <c r="M49" s="11">
        <f>Raw_Data!K49</f>
        <v>10</v>
      </c>
      <c r="N49" s="10">
        <f>Raw_Data!L49</f>
        <v>1026</v>
      </c>
      <c r="O49" s="10">
        <f t="shared" si="0"/>
        <v>547.20000000000005</v>
      </c>
      <c r="P49" s="14">
        <f t="shared" si="1"/>
        <v>0.48000000000000004</v>
      </c>
      <c r="Q49" s="7" t="str">
        <f>Raw_Data!M49</f>
        <v>UPI</v>
      </c>
      <c r="R49" s="7" t="str">
        <f>Raw_Data!N49</f>
        <v>Yes</v>
      </c>
    </row>
    <row r="50" spans="1:18" x14ac:dyDescent="0.25">
      <c r="A50" s="2" t="str">
        <f>Raw_Data!A50</f>
        <v>ORD-0049</v>
      </c>
      <c r="B50" s="3">
        <f>Raw_Data!B50</f>
        <v>45587</v>
      </c>
      <c r="C50" s="2" t="str">
        <f>TEXT(Raw_Data!B50,"MMM")</f>
        <v>Oct</v>
      </c>
      <c r="D50" s="2">
        <f>YEAR(Raw_Data!B50)</f>
        <v>2024</v>
      </c>
      <c r="E50" s="4" t="str">
        <f>Raw_Data!C50</f>
        <v>Rohit Joshi</v>
      </c>
      <c r="F50" s="2" t="str">
        <f>Raw_Data!D50</f>
        <v>Mumbai</v>
      </c>
      <c r="G50" s="4" t="str">
        <f>Raw_Data!E50</f>
        <v>Paracetamol Syrup</v>
      </c>
      <c r="H50" s="2" t="str">
        <f>Raw_Data!F50</f>
        <v>Syrup</v>
      </c>
      <c r="I50" s="2">
        <f>Raw_Data!G50</f>
        <v>14</v>
      </c>
      <c r="J50" s="5">
        <f>Raw_Data!H50</f>
        <v>45</v>
      </c>
      <c r="K50" s="5">
        <f>Raw_Data!I50</f>
        <v>21.6</v>
      </c>
      <c r="L50" s="5">
        <f>Raw_Data!J50</f>
        <v>630</v>
      </c>
      <c r="M50" s="6">
        <f>Raw_Data!K50</f>
        <v>0</v>
      </c>
      <c r="N50" s="5">
        <f>Raw_Data!L50</f>
        <v>630</v>
      </c>
      <c r="O50" s="5">
        <f t="shared" si="0"/>
        <v>327.59999999999997</v>
      </c>
      <c r="P50" s="13">
        <f t="shared" si="1"/>
        <v>0.51999999999999991</v>
      </c>
      <c r="Q50" s="2" t="str">
        <f>Raw_Data!M50</f>
        <v>UPI</v>
      </c>
      <c r="R50" s="2" t="str">
        <f>Raw_Data!N50</f>
        <v>No</v>
      </c>
    </row>
    <row r="51" spans="1:18" x14ac:dyDescent="0.25">
      <c r="A51" s="7" t="str">
        <f>Raw_Data!A51</f>
        <v>ORD-0050</v>
      </c>
      <c r="B51" s="8">
        <f>Raw_Data!B51</f>
        <v>45512</v>
      </c>
      <c r="C51" s="7" t="str">
        <f>TEXT(Raw_Data!B51,"MMM")</f>
        <v>Aug</v>
      </c>
      <c r="D51" s="7">
        <f>YEAR(Raw_Data!B51)</f>
        <v>2024</v>
      </c>
      <c r="E51" s="9" t="str">
        <f>Raw_Data!C51</f>
        <v>Kavita Agarwal</v>
      </c>
      <c r="F51" s="7" t="str">
        <f>Raw_Data!D51</f>
        <v>Surat</v>
      </c>
      <c r="G51" s="9" t="str">
        <f>Raw_Data!E51</f>
        <v>Ibuprofen 400mg</v>
      </c>
      <c r="H51" s="7" t="str">
        <f>Raw_Data!F51</f>
        <v>Tablet</v>
      </c>
      <c r="I51" s="7">
        <f>Raw_Data!G51</f>
        <v>11</v>
      </c>
      <c r="J51" s="10">
        <f>Raw_Data!H51</f>
        <v>30</v>
      </c>
      <c r="K51" s="10">
        <f>Raw_Data!I51</f>
        <v>15.6</v>
      </c>
      <c r="L51" s="10">
        <f>Raw_Data!J51</f>
        <v>330</v>
      </c>
      <c r="M51" s="11">
        <f>Raw_Data!K51</f>
        <v>0</v>
      </c>
      <c r="N51" s="10">
        <f>Raw_Data!L51</f>
        <v>330</v>
      </c>
      <c r="O51" s="10">
        <f t="shared" si="0"/>
        <v>158.4</v>
      </c>
      <c r="P51" s="14">
        <f t="shared" si="1"/>
        <v>0.48000000000000004</v>
      </c>
      <c r="Q51" s="7" t="str">
        <f>Raw_Data!M51</f>
        <v>Card</v>
      </c>
      <c r="R51" s="7" t="str">
        <f>Raw_Data!N51</f>
        <v>No</v>
      </c>
    </row>
    <row r="52" spans="1:18" x14ac:dyDescent="0.25">
      <c r="A52" s="2" t="str">
        <f>Raw_Data!A52</f>
        <v>ORD-0051</v>
      </c>
      <c r="B52" s="3">
        <f>Raw_Data!B52</f>
        <v>45501</v>
      </c>
      <c r="C52" s="2" t="str">
        <f>TEXT(Raw_Data!B52,"MMM")</f>
        <v>Jul</v>
      </c>
      <c r="D52" s="2">
        <f>YEAR(Raw_Data!B52)</f>
        <v>2024</v>
      </c>
      <c r="E52" s="4" t="str">
        <f>Raw_Data!C52</f>
        <v>Nikhil Agarwal</v>
      </c>
      <c r="F52" s="2" t="str">
        <f>Raw_Data!D52</f>
        <v>Chennai</v>
      </c>
      <c r="G52" s="4" t="str">
        <f>Raw_Data!E52</f>
        <v>Vitamin B12 Inj</v>
      </c>
      <c r="H52" s="2" t="str">
        <f>Raw_Data!F52</f>
        <v>Injection</v>
      </c>
      <c r="I52" s="2">
        <f>Raw_Data!G52</f>
        <v>18</v>
      </c>
      <c r="J52" s="5">
        <f>Raw_Data!H52</f>
        <v>60</v>
      </c>
      <c r="K52" s="5">
        <f>Raw_Data!I52</f>
        <v>36</v>
      </c>
      <c r="L52" s="5">
        <f>Raw_Data!J52</f>
        <v>1080</v>
      </c>
      <c r="M52" s="6">
        <f>Raw_Data!K52</f>
        <v>0</v>
      </c>
      <c r="N52" s="5">
        <f>Raw_Data!L52</f>
        <v>1080</v>
      </c>
      <c r="O52" s="5">
        <f t="shared" si="0"/>
        <v>432</v>
      </c>
      <c r="P52" s="13">
        <f t="shared" si="1"/>
        <v>0.4</v>
      </c>
      <c r="Q52" s="2" t="str">
        <f>Raw_Data!M52</f>
        <v>UPI</v>
      </c>
      <c r="R52" s="2" t="str">
        <f>Raw_Data!N52</f>
        <v>Yes</v>
      </c>
    </row>
    <row r="53" spans="1:18" x14ac:dyDescent="0.25">
      <c r="A53" s="7" t="str">
        <f>Raw_Data!A53</f>
        <v>ORD-0052</v>
      </c>
      <c r="B53" s="8">
        <f>Raw_Data!B53</f>
        <v>45381</v>
      </c>
      <c r="C53" s="7" t="str">
        <f>TEXT(Raw_Data!B53,"MMM")</f>
        <v>Mar</v>
      </c>
      <c r="D53" s="7">
        <f>YEAR(Raw_Data!B53)</f>
        <v>2024</v>
      </c>
      <c r="E53" s="9" t="str">
        <f>Raw_Data!C53</f>
        <v>Rohit Mehta</v>
      </c>
      <c r="F53" s="7" t="str">
        <f>Raw_Data!D53</f>
        <v>Chennai</v>
      </c>
      <c r="G53" s="9" t="str">
        <f>Raw_Data!E53</f>
        <v>Refresh Tears</v>
      </c>
      <c r="H53" s="7" t="str">
        <f>Raw_Data!F53</f>
        <v>Drops</v>
      </c>
      <c r="I53" s="7">
        <f>Raw_Data!G53</f>
        <v>13</v>
      </c>
      <c r="J53" s="10">
        <f>Raw_Data!H53</f>
        <v>110</v>
      </c>
      <c r="K53" s="10">
        <f>Raw_Data!I53</f>
        <v>49.5</v>
      </c>
      <c r="L53" s="10">
        <f>Raw_Data!J53</f>
        <v>1430</v>
      </c>
      <c r="M53" s="11">
        <f>Raw_Data!K53</f>
        <v>20</v>
      </c>
      <c r="N53" s="10">
        <f>Raw_Data!L53</f>
        <v>1144</v>
      </c>
      <c r="O53" s="10">
        <f t="shared" si="0"/>
        <v>786.5</v>
      </c>
      <c r="P53" s="14">
        <f t="shared" si="1"/>
        <v>0.55000000000000004</v>
      </c>
      <c r="Q53" s="7" t="str">
        <f>Raw_Data!M53</f>
        <v>Card</v>
      </c>
      <c r="R53" s="7" t="str">
        <f>Raw_Data!N53</f>
        <v>No</v>
      </c>
    </row>
    <row r="54" spans="1:18" x14ac:dyDescent="0.25">
      <c r="A54" s="2" t="str">
        <f>Raw_Data!A54</f>
        <v>ORD-0053</v>
      </c>
      <c r="B54" s="3">
        <f>Raw_Data!B54</f>
        <v>45588</v>
      </c>
      <c r="C54" s="2" t="str">
        <f>TEXT(Raw_Data!B54,"MMM")</f>
        <v>Oct</v>
      </c>
      <c r="D54" s="2">
        <f>YEAR(Raw_Data!B54)</f>
        <v>2024</v>
      </c>
      <c r="E54" s="4" t="str">
        <f>Raw_Data!C54</f>
        <v>Rekha Dubey</v>
      </c>
      <c r="F54" s="2" t="str">
        <f>Raw_Data!D54</f>
        <v>Pune</v>
      </c>
      <c r="G54" s="4" t="str">
        <f>Raw_Data!E54</f>
        <v>Refresh Tears</v>
      </c>
      <c r="H54" s="2" t="str">
        <f>Raw_Data!F54</f>
        <v>Drops</v>
      </c>
      <c r="I54" s="2">
        <f>Raw_Data!G54</f>
        <v>15</v>
      </c>
      <c r="J54" s="5">
        <f>Raw_Data!H54</f>
        <v>110</v>
      </c>
      <c r="K54" s="5">
        <f>Raw_Data!I54</f>
        <v>49.5</v>
      </c>
      <c r="L54" s="5">
        <f>Raw_Data!J54</f>
        <v>1650</v>
      </c>
      <c r="M54" s="6">
        <f>Raw_Data!K54</f>
        <v>15</v>
      </c>
      <c r="N54" s="5">
        <f>Raw_Data!L54</f>
        <v>1402.5</v>
      </c>
      <c r="O54" s="5">
        <f t="shared" si="0"/>
        <v>907.5</v>
      </c>
      <c r="P54" s="13">
        <f t="shared" si="1"/>
        <v>0.55000000000000004</v>
      </c>
      <c r="Q54" s="2" t="str">
        <f>Raw_Data!M54</f>
        <v>Cash</v>
      </c>
      <c r="R54" s="2" t="str">
        <f>Raw_Data!N54</f>
        <v>No</v>
      </c>
    </row>
    <row r="55" spans="1:18" x14ac:dyDescent="0.25">
      <c r="A55" s="7" t="str">
        <f>Raw_Data!A55</f>
        <v>ORD-0054</v>
      </c>
      <c r="B55" s="8">
        <f>Raw_Data!B55</f>
        <v>45378</v>
      </c>
      <c r="C55" s="7" t="str">
        <f>TEXT(Raw_Data!B55,"MMM")</f>
        <v>Mar</v>
      </c>
      <c r="D55" s="7">
        <f>YEAR(Raw_Data!B55)</f>
        <v>2024</v>
      </c>
      <c r="E55" s="9" t="str">
        <f>Raw_Data!C55</f>
        <v>Deepa Agarwal</v>
      </c>
      <c r="F55" s="7" t="str">
        <f>Raw_Data!D55</f>
        <v>Chennai</v>
      </c>
      <c r="G55" s="9" t="str">
        <f>Raw_Data!E55</f>
        <v>Betadine Cream</v>
      </c>
      <c r="H55" s="7" t="str">
        <f>Raw_Data!F55</f>
        <v>Cream</v>
      </c>
      <c r="I55" s="7">
        <f>Raw_Data!G55</f>
        <v>17</v>
      </c>
      <c r="J55" s="10">
        <f>Raw_Data!H55</f>
        <v>85</v>
      </c>
      <c r="K55" s="10">
        <f>Raw_Data!I55</f>
        <v>39.950000000000003</v>
      </c>
      <c r="L55" s="10">
        <f>Raw_Data!J55</f>
        <v>1445</v>
      </c>
      <c r="M55" s="11">
        <f>Raw_Data!K55</f>
        <v>10</v>
      </c>
      <c r="N55" s="10">
        <f>Raw_Data!L55</f>
        <v>1300.5</v>
      </c>
      <c r="O55" s="10">
        <f t="shared" si="0"/>
        <v>765.84999999999991</v>
      </c>
      <c r="P55" s="14">
        <f t="shared" si="1"/>
        <v>0.52999999999999992</v>
      </c>
      <c r="Q55" s="7" t="str">
        <f>Raw_Data!M55</f>
        <v>UPI</v>
      </c>
      <c r="R55" s="7" t="str">
        <f>Raw_Data!N55</f>
        <v>Yes</v>
      </c>
    </row>
    <row r="56" spans="1:18" x14ac:dyDescent="0.25">
      <c r="A56" s="2" t="str">
        <f>Raw_Data!A56</f>
        <v>ORD-0055</v>
      </c>
      <c r="B56" s="3">
        <f>Raw_Data!B56</f>
        <v>45450</v>
      </c>
      <c r="C56" s="2" t="str">
        <f>TEXT(Raw_Data!B56,"MMM")</f>
        <v>Jun</v>
      </c>
      <c r="D56" s="2">
        <f>YEAR(Raw_Data!B56)</f>
        <v>2024</v>
      </c>
      <c r="E56" s="4" t="str">
        <f>Raw_Data!C56</f>
        <v>Amit Shah</v>
      </c>
      <c r="F56" s="2" t="str">
        <f>Raw_Data!D56</f>
        <v>Bangalore</v>
      </c>
      <c r="G56" s="4" t="str">
        <f>Raw_Data!E56</f>
        <v>Ambroxol Syrup</v>
      </c>
      <c r="H56" s="2" t="str">
        <f>Raw_Data!F56</f>
        <v>Syrup</v>
      </c>
      <c r="I56" s="2">
        <f>Raw_Data!G56</f>
        <v>1</v>
      </c>
      <c r="J56" s="5">
        <f>Raw_Data!H56</f>
        <v>65</v>
      </c>
      <c r="K56" s="5">
        <f>Raw_Data!I56</f>
        <v>31.2</v>
      </c>
      <c r="L56" s="5">
        <f>Raw_Data!J56</f>
        <v>65</v>
      </c>
      <c r="M56" s="6">
        <f>Raw_Data!K56</f>
        <v>0</v>
      </c>
      <c r="N56" s="5">
        <f>Raw_Data!L56</f>
        <v>65</v>
      </c>
      <c r="O56" s="5">
        <f t="shared" si="0"/>
        <v>33.799999999999997</v>
      </c>
      <c r="P56" s="13">
        <f t="shared" si="1"/>
        <v>0.51999999999999991</v>
      </c>
      <c r="Q56" s="2" t="str">
        <f>Raw_Data!M56</f>
        <v>Card</v>
      </c>
      <c r="R56" s="2" t="str">
        <f>Raw_Data!N56</f>
        <v>Yes</v>
      </c>
    </row>
    <row r="57" spans="1:18" x14ac:dyDescent="0.25">
      <c r="A57" s="7" t="str">
        <f>Raw_Data!A57</f>
        <v>ORD-0056</v>
      </c>
      <c r="B57" s="8">
        <f>Raw_Data!B57</f>
        <v>45504</v>
      </c>
      <c r="C57" s="7" t="str">
        <f>TEXT(Raw_Data!B57,"MMM")</f>
        <v>Jul</v>
      </c>
      <c r="D57" s="7">
        <f>YEAR(Raw_Data!B57)</f>
        <v>2024</v>
      </c>
      <c r="E57" s="9" t="str">
        <f>Raw_Data!C57</f>
        <v>Rahul Nair</v>
      </c>
      <c r="F57" s="7" t="str">
        <f>Raw_Data!D57</f>
        <v>Hyderabad</v>
      </c>
      <c r="G57" s="9" t="str">
        <f>Raw_Data!E57</f>
        <v>Soframycin Cream</v>
      </c>
      <c r="H57" s="7" t="str">
        <f>Raw_Data!F57</f>
        <v>Cream</v>
      </c>
      <c r="I57" s="7">
        <f>Raw_Data!G57</f>
        <v>13</v>
      </c>
      <c r="J57" s="10">
        <f>Raw_Data!H57</f>
        <v>72</v>
      </c>
      <c r="K57" s="10">
        <f>Raw_Data!I57</f>
        <v>33.840000000000003</v>
      </c>
      <c r="L57" s="10">
        <f>Raw_Data!J57</f>
        <v>936</v>
      </c>
      <c r="M57" s="11">
        <f>Raw_Data!K57</f>
        <v>15</v>
      </c>
      <c r="N57" s="10">
        <f>Raw_Data!L57</f>
        <v>795.6</v>
      </c>
      <c r="O57" s="10">
        <f t="shared" si="0"/>
        <v>496.07999999999993</v>
      </c>
      <c r="P57" s="14">
        <f t="shared" si="1"/>
        <v>0.52999999999999992</v>
      </c>
      <c r="Q57" s="7" t="str">
        <f>Raw_Data!M57</f>
        <v>Cash</v>
      </c>
      <c r="R57" s="7" t="str">
        <f>Raw_Data!N57</f>
        <v>No</v>
      </c>
    </row>
    <row r="58" spans="1:18" x14ac:dyDescent="0.25">
      <c r="A58" s="2" t="str">
        <f>Raw_Data!A58</f>
        <v>ORD-0057</v>
      </c>
      <c r="B58" s="3">
        <f>Raw_Data!B58</f>
        <v>45346</v>
      </c>
      <c r="C58" s="2" t="str">
        <f>TEXT(Raw_Data!B58,"MMM")</f>
        <v>Feb</v>
      </c>
      <c r="D58" s="2">
        <f>YEAR(Raw_Data!B58)</f>
        <v>2024</v>
      </c>
      <c r="E58" s="4" t="str">
        <f>Raw_Data!C58</f>
        <v>Sunita Shah</v>
      </c>
      <c r="F58" s="2" t="str">
        <f>Raw_Data!D58</f>
        <v>Hyderabad</v>
      </c>
      <c r="G58" s="4" t="str">
        <f>Raw_Data!E58</f>
        <v>Protein Supplement</v>
      </c>
      <c r="H58" s="2" t="str">
        <f>Raw_Data!F58</f>
        <v>Powder</v>
      </c>
      <c r="I58" s="2">
        <f>Raw_Data!G58</f>
        <v>6</v>
      </c>
      <c r="J58" s="5">
        <f>Raw_Data!H58</f>
        <v>450</v>
      </c>
      <c r="K58" s="5">
        <f>Raw_Data!I58</f>
        <v>247.5</v>
      </c>
      <c r="L58" s="5">
        <f>Raw_Data!J58</f>
        <v>2700</v>
      </c>
      <c r="M58" s="6">
        <f>Raw_Data!K58</f>
        <v>20</v>
      </c>
      <c r="N58" s="5">
        <f>Raw_Data!L58</f>
        <v>2160</v>
      </c>
      <c r="O58" s="5">
        <f t="shared" si="0"/>
        <v>1215</v>
      </c>
      <c r="P58" s="13">
        <f t="shared" si="1"/>
        <v>0.45</v>
      </c>
      <c r="Q58" s="2" t="str">
        <f>Raw_Data!M58</f>
        <v>Card</v>
      </c>
      <c r="R58" s="2" t="str">
        <f>Raw_Data!N58</f>
        <v>No</v>
      </c>
    </row>
    <row r="59" spans="1:18" x14ac:dyDescent="0.25">
      <c r="A59" s="7" t="str">
        <f>Raw_Data!A59</f>
        <v>ORD-0058</v>
      </c>
      <c r="B59" s="8">
        <f>Raw_Data!B59</f>
        <v>45360</v>
      </c>
      <c r="C59" s="7" t="str">
        <f>TEXT(Raw_Data!B59,"MMM")</f>
        <v>Mar</v>
      </c>
      <c r="D59" s="7">
        <f>YEAR(Raw_Data!B59)</f>
        <v>2024</v>
      </c>
      <c r="E59" s="9" t="str">
        <f>Raw_Data!C59</f>
        <v>Nisha Mishra</v>
      </c>
      <c r="F59" s="7" t="str">
        <f>Raw_Data!D59</f>
        <v>Jaipur</v>
      </c>
      <c r="G59" s="9" t="str">
        <f>Raw_Data!E59</f>
        <v>Protein Supplement</v>
      </c>
      <c r="H59" s="7" t="str">
        <f>Raw_Data!F59</f>
        <v>Powder</v>
      </c>
      <c r="I59" s="7">
        <f>Raw_Data!G59</f>
        <v>18</v>
      </c>
      <c r="J59" s="10">
        <f>Raw_Data!H59</f>
        <v>450</v>
      </c>
      <c r="K59" s="10">
        <f>Raw_Data!I59</f>
        <v>247.5</v>
      </c>
      <c r="L59" s="10">
        <f>Raw_Data!J59</f>
        <v>8100</v>
      </c>
      <c r="M59" s="11">
        <f>Raw_Data!K59</f>
        <v>10</v>
      </c>
      <c r="N59" s="10">
        <f>Raw_Data!L59</f>
        <v>7290</v>
      </c>
      <c r="O59" s="10">
        <f t="shared" si="0"/>
        <v>3645</v>
      </c>
      <c r="P59" s="14">
        <f t="shared" si="1"/>
        <v>0.45</v>
      </c>
      <c r="Q59" s="7" t="str">
        <f>Raw_Data!M59</f>
        <v>UPI</v>
      </c>
      <c r="R59" s="7" t="str">
        <f>Raw_Data!N59</f>
        <v>No</v>
      </c>
    </row>
    <row r="60" spans="1:18" x14ac:dyDescent="0.25">
      <c r="A60" s="2" t="str">
        <f>Raw_Data!A60</f>
        <v>ORD-0059</v>
      </c>
      <c r="B60" s="3">
        <f>Raw_Data!B60</f>
        <v>45550</v>
      </c>
      <c r="C60" s="2" t="str">
        <f>TEXT(Raw_Data!B60,"MMM")</f>
        <v>Sep</v>
      </c>
      <c r="D60" s="2">
        <f>YEAR(Raw_Data!B60)</f>
        <v>2024</v>
      </c>
      <c r="E60" s="4" t="str">
        <f>Raw_Data!C60</f>
        <v>Suresh Dubey</v>
      </c>
      <c r="F60" s="2" t="str">
        <f>Raw_Data!D60</f>
        <v>Bangalore</v>
      </c>
      <c r="G60" s="4" t="str">
        <f>Raw_Data!E60</f>
        <v>Vitamin D3 60K</v>
      </c>
      <c r="H60" s="2" t="str">
        <f>Raw_Data!F60</f>
        <v>Capsule</v>
      </c>
      <c r="I60" s="2">
        <f>Raw_Data!G60</f>
        <v>16</v>
      </c>
      <c r="J60" s="5">
        <f>Raw_Data!H60</f>
        <v>55</v>
      </c>
      <c r="K60" s="5">
        <f>Raw_Data!I60</f>
        <v>27.5</v>
      </c>
      <c r="L60" s="5">
        <f>Raw_Data!J60</f>
        <v>880</v>
      </c>
      <c r="M60" s="6">
        <f>Raw_Data!K60</f>
        <v>15</v>
      </c>
      <c r="N60" s="5">
        <f>Raw_Data!L60</f>
        <v>748</v>
      </c>
      <c r="O60" s="5">
        <f t="shared" si="0"/>
        <v>440</v>
      </c>
      <c r="P60" s="13">
        <f t="shared" si="1"/>
        <v>0.5</v>
      </c>
      <c r="Q60" s="2" t="str">
        <f>Raw_Data!M60</f>
        <v>Cash</v>
      </c>
      <c r="R60" s="2" t="str">
        <f>Raw_Data!N60</f>
        <v>Yes</v>
      </c>
    </row>
    <row r="61" spans="1:18" x14ac:dyDescent="0.25">
      <c r="A61" s="7" t="str">
        <f>Raw_Data!A61</f>
        <v>ORD-0060</v>
      </c>
      <c r="B61" s="8">
        <f>Raw_Data!B61</f>
        <v>45558</v>
      </c>
      <c r="C61" s="7" t="str">
        <f>TEXT(Raw_Data!B61,"MMM")</f>
        <v>Sep</v>
      </c>
      <c r="D61" s="7">
        <f>YEAR(Raw_Data!B61)</f>
        <v>2024</v>
      </c>
      <c r="E61" s="9" t="str">
        <f>Raw_Data!C61</f>
        <v>Arjun Joshi</v>
      </c>
      <c r="F61" s="7" t="str">
        <f>Raw_Data!D61</f>
        <v>Chennai</v>
      </c>
      <c r="G61" s="9" t="str">
        <f>Raw_Data!E61</f>
        <v>Doxycycline 100mg</v>
      </c>
      <c r="H61" s="7" t="str">
        <f>Raw_Data!F61</f>
        <v>Capsule</v>
      </c>
      <c r="I61" s="7">
        <f>Raw_Data!G61</f>
        <v>15</v>
      </c>
      <c r="J61" s="10">
        <f>Raw_Data!H61</f>
        <v>90</v>
      </c>
      <c r="K61" s="10">
        <f>Raw_Data!I61</f>
        <v>45</v>
      </c>
      <c r="L61" s="10">
        <f>Raw_Data!J61</f>
        <v>1350</v>
      </c>
      <c r="M61" s="11">
        <f>Raw_Data!K61</f>
        <v>0</v>
      </c>
      <c r="N61" s="10">
        <f>Raw_Data!L61</f>
        <v>1350</v>
      </c>
      <c r="O61" s="10">
        <f t="shared" si="0"/>
        <v>675</v>
      </c>
      <c r="P61" s="14">
        <f t="shared" si="1"/>
        <v>0.5</v>
      </c>
      <c r="Q61" s="7" t="str">
        <f>Raw_Data!M61</f>
        <v>Cash</v>
      </c>
      <c r="R61" s="7" t="str">
        <f>Raw_Data!N61</f>
        <v>No</v>
      </c>
    </row>
    <row r="62" spans="1:18" x14ac:dyDescent="0.25">
      <c r="A62" s="2" t="str">
        <f>Raw_Data!A62</f>
        <v>ORD-0061</v>
      </c>
      <c r="B62" s="3">
        <f>Raw_Data!B62</f>
        <v>45568</v>
      </c>
      <c r="C62" s="2" t="str">
        <f>TEXT(Raw_Data!B62,"MMM")</f>
        <v>Oct</v>
      </c>
      <c r="D62" s="2">
        <f>YEAR(Raw_Data!B62)</f>
        <v>2024</v>
      </c>
      <c r="E62" s="4" t="str">
        <f>Raw_Data!C62</f>
        <v>Amit Mehta</v>
      </c>
      <c r="F62" s="2" t="str">
        <f>Raw_Data!D62</f>
        <v>Bangalore</v>
      </c>
      <c r="G62" s="4" t="str">
        <f>Raw_Data!E62</f>
        <v>Metformin 500mg</v>
      </c>
      <c r="H62" s="2" t="str">
        <f>Raw_Data!F62</f>
        <v>Tablet</v>
      </c>
      <c r="I62" s="2">
        <f>Raw_Data!G62</f>
        <v>8</v>
      </c>
      <c r="J62" s="5">
        <f>Raw_Data!H62</f>
        <v>45</v>
      </c>
      <c r="K62" s="5">
        <f>Raw_Data!I62</f>
        <v>23.4</v>
      </c>
      <c r="L62" s="5">
        <f>Raw_Data!J62</f>
        <v>360</v>
      </c>
      <c r="M62" s="6">
        <f>Raw_Data!K62</f>
        <v>10</v>
      </c>
      <c r="N62" s="5">
        <f>Raw_Data!L62</f>
        <v>324</v>
      </c>
      <c r="O62" s="5">
        <f t="shared" si="0"/>
        <v>172.8</v>
      </c>
      <c r="P62" s="13">
        <f t="shared" si="1"/>
        <v>0.48000000000000004</v>
      </c>
      <c r="Q62" s="2" t="str">
        <f>Raw_Data!M62</f>
        <v>UPI</v>
      </c>
      <c r="R62" s="2" t="str">
        <f>Raw_Data!N62</f>
        <v>No</v>
      </c>
    </row>
    <row r="63" spans="1:18" x14ac:dyDescent="0.25">
      <c r="A63" s="7" t="str">
        <f>Raw_Data!A63</f>
        <v>ORD-0062</v>
      </c>
      <c r="B63" s="8">
        <f>Raw_Data!B63</f>
        <v>45500</v>
      </c>
      <c r="C63" s="7" t="str">
        <f>TEXT(Raw_Data!B63,"MMM")</f>
        <v>Jul</v>
      </c>
      <c r="D63" s="7">
        <f>YEAR(Raw_Data!B63)</f>
        <v>2024</v>
      </c>
      <c r="E63" s="9" t="str">
        <f>Raw_Data!C63</f>
        <v>Vijay Tiwari</v>
      </c>
      <c r="F63" s="7" t="str">
        <f>Raw_Data!D63</f>
        <v>Kolkata</v>
      </c>
      <c r="G63" s="9" t="str">
        <f>Raw_Data!E63</f>
        <v>Vitamin B12 Inj</v>
      </c>
      <c r="H63" s="7" t="str">
        <f>Raw_Data!F63</f>
        <v>Injection</v>
      </c>
      <c r="I63" s="7">
        <f>Raw_Data!G63</f>
        <v>2</v>
      </c>
      <c r="J63" s="10">
        <f>Raw_Data!H63</f>
        <v>60</v>
      </c>
      <c r="K63" s="10">
        <f>Raw_Data!I63</f>
        <v>36</v>
      </c>
      <c r="L63" s="10">
        <f>Raw_Data!J63</f>
        <v>120</v>
      </c>
      <c r="M63" s="11">
        <f>Raw_Data!K63</f>
        <v>5</v>
      </c>
      <c r="N63" s="10">
        <f>Raw_Data!L63</f>
        <v>114</v>
      </c>
      <c r="O63" s="10">
        <f t="shared" si="0"/>
        <v>48</v>
      </c>
      <c r="P63" s="14">
        <f t="shared" si="1"/>
        <v>0.4</v>
      </c>
      <c r="Q63" s="7" t="str">
        <f>Raw_Data!M63</f>
        <v>Card</v>
      </c>
      <c r="R63" s="7" t="str">
        <f>Raw_Data!N63</f>
        <v>Yes</v>
      </c>
    </row>
    <row r="64" spans="1:18" x14ac:dyDescent="0.25">
      <c r="A64" s="2" t="str">
        <f>Raw_Data!A64</f>
        <v>ORD-0063</v>
      </c>
      <c r="B64" s="3">
        <f>Raw_Data!B64</f>
        <v>45302</v>
      </c>
      <c r="C64" s="2" t="str">
        <f>TEXT(Raw_Data!B64,"MMM")</f>
        <v>Jan</v>
      </c>
      <c r="D64" s="2">
        <f>YEAR(Raw_Data!B64)</f>
        <v>2024</v>
      </c>
      <c r="E64" s="4" t="str">
        <f>Raw_Data!C64</f>
        <v>Nikhil Mishra</v>
      </c>
      <c r="F64" s="2" t="str">
        <f>Raw_Data!D64</f>
        <v>Kolkata</v>
      </c>
      <c r="G64" s="4" t="str">
        <f>Raw_Data!E64</f>
        <v>Antifungal Powder</v>
      </c>
      <c r="H64" s="2" t="str">
        <f>Raw_Data!F64</f>
        <v>Powder</v>
      </c>
      <c r="I64" s="2">
        <f>Raw_Data!G64</f>
        <v>16</v>
      </c>
      <c r="J64" s="5">
        <f>Raw_Data!H64</f>
        <v>55</v>
      </c>
      <c r="K64" s="5">
        <f>Raw_Data!I64</f>
        <v>30.25</v>
      </c>
      <c r="L64" s="5">
        <f>Raw_Data!J64</f>
        <v>880</v>
      </c>
      <c r="M64" s="6">
        <f>Raw_Data!K64</f>
        <v>0</v>
      </c>
      <c r="N64" s="5">
        <f>Raw_Data!L64</f>
        <v>880</v>
      </c>
      <c r="O64" s="5">
        <f t="shared" si="0"/>
        <v>396</v>
      </c>
      <c r="P64" s="13">
        <f t="shared" si="1"/>
        <v>0.45</v>
      </c>
      <c r="Q64" s="2" t="str">
        <f>Raw_Data!M64</f>
        <v>Cash</v>
      </c>
      <c r="R64" s="2" t="str">
        <f>Raw_Data!N64</f>
        <v>No</v>
      </c>
    </row>
    <row r="65" spans="1:18" x14ac:dyDescent="0.25">
      <c r="A65" s="7" t="str">
        <f>Raw_Data!A65</f>
        <v>ORD-0064</v>
      </c>
      <c r="B65" s="8">
        <f>Raw_Data!B65</f>
        <v>45506</v>
      </c>
      <c r="C65" s="7" t="str">
        <f>TEXT(Raw_Data!B65,"MMM")</f>
        <v>Aug</v>
      </c>
      <c r="D65" s="7">
        <f>YEAR(Raw_Data!B65)</f>
        <v>2024</v>
      </c>
      <c r="E65" s="9" t="str">
        <f>Raw_Data!C65</f>
        <v>Rekha Sharma</v>
      </c>
      <c r="F65" s="7" t="str">
        <f>Raw_Data!D65</f>
        <v>Jaipur</v>
      </c>
      <c r="G65" s="9" t="str">
        <f>Raw_Data!E65</f>
        <v>Refresh Tears</v>
      </c>
      <c r="H65" s="7" t="str">
        <f>Raw_Data!F65</f>
        <v>Drops</v>
      </c>
      <c r="I65" s="7">
        <f>Raw_Data!G65</f>
        <v>20</v>
      </c>
      <c r="J65" s="10">
        <f>Raw_Data!H65</f>
        <v>110</v>
      </c>
      <c r="K65" s="10">
        <f>Raw_Data!I65</f>
        <v>49.5</v>
      </c>
      <c r="L65" s="10">
        <f>Raw_Data!J65</f>
        <v>2200</v>
      </c>
      <c r="M65" s="11">
        <f>Raw_Data!K65</f>
        <v>5</v>
      </c>
      <c r="N65" s="10">
        <f>Raw_Data!L65</f>
        <v>2090</v>
      </c>
      <c r="O65" s="10">
        <f t="shared" si="0"/>
        <v>1210</v>
      </c>
      <c r="P65" s="14">
        <f t="shared" si="1"/>
        <v>0.55000000000000004</v>
      </c>
      <c r="Q65" s="7" t="str">
        <f>Raw_Data!M65</f>
        <v>Cash</v>
      </c>
      <c r="R65" s="7" t="str">
        <f>Raw_Data!N65</f>
        <v>No</v>
      </c>
    </row>
    <row r="66" spans="1:18" x14ac:dyDescent="0.25">
      <c r="A66" s="2" t="str">
        <f>Raw_Data!A66</f>
        <v>ORD-0065</v>
      </c>
      <c r="B66" s="3">
        <f>Raw_Data!B66</f>
        <v>45491</v>
      </c>
      <c r="C66" s="2" t="str">
        <f>TEXT(Raw_Data!B66,"MMM")</f>
        <v>Jul</v>
      </c>
      <c r="D66" s="2">
        <f>YEAR(Raw_Data!B66)</f>
        <v>2024</v>
      </c>
      <c r="E66" s="4" t="str">
        <f>Raw_Data!C66</f>
        <v>Nikhil Rao</v>
      </c>
      <c r="F66" s="2" t="str">
        <f>Raw_Data!D66</f>
        <v>Bangalore</v>
      </c>
      <c r="G66" s="4" t="str">
        <f>Raw_Data!E66</f>
        <v>Vitamin B12 Inj</v>
      </c>
      <c r="H66" s="2" t="str">
        <f>Raw_Data!F66</f>
        <v>Injection</v>
      </c>
      <c r="I66" s="2">
        <f>Raw_Data!G66</f>
        <v>15</v>
      </c>
      <c r="J66" s="5">
        <f>Raw_Data!H66</f>
        <v>60</v>
      </c>
      <c r="K66" s="5">
        <f>Raw_Data!I66</f>
        <v>36</v>
      </c>
      <c r="L66" s="5">
        <f>Raw_Data!J66</f>
        <v>900</v>
      </c>
      <c r="M66" s="6">
        <f>Raw_Data!K66</f>
        <v>0</v>
      </c>
      <c r="N66" s="5">
        <f>Raw_Data!L66</f>
        <v>900</v>
      </c>
      <c r="O66" s="5">
        <f t="shared" ref="O66:O129" si="2">L66-(I66*K66)</f>
        <v>360</v>
      </c>
      <c r="P66" s="13">
        <f t="shared" ref="P66:P129" si="3">IFERROR((L66-(I66*K66))/L66,0)</f>
        <v>0.4</v>
      </c>
      <c r="Q66" s="2" t="str">
        <f>Raw_Data!M66</f>
        <v>Card</v>
      </c>
      <c r="R66" s="2" t="str">
        <f>Raw_Data!N66</f>
        <v>No</v>
      </c>
    </row>
    <row r="67" spans="1:18" x14ac:dyDescent="0.25">
      <c r="A67" s="7" t="str">
        <f>Raw_Data!A67</f>
        <v>ORD-0066</v>
      </c>
      <c r="B67" s="8">
        <f>Raw_Data!B67</f>
        <v>45580</v>
      </c>
      <c r="C67" s="7" t="str">
        <f>TEXT(Raw_Data!B67,"MMM")</f>
        <v>Oct</v>
      </c>
      <c r="D67" s="7">
        <f>YEAR(Raw_Data!B67)</f>
        <v>2024</v>
      </c>
      <c r="E67" s="9" t="str">
        <f>Raw_Data!C67</f>
        <v>Suresh Mehta</v>
      </c>
      <c r="F67" s="7" t="str">
        <f>Raw_Data!D67</f>
        <v>Delhi</v>
      </c>
      <c r="G67" s="9" t="str">
        <f>Raw_Data!E67</f>
        <v>Betadine Cream</v>
      </c>
      <c r="H67" s="7" t="str">
        <f>Raw_Data!F67</f>
        <v>Cream</v>
      </c>
      <c r="I67" s="7">
        <f>Raw_Data!G67</f>
        <v>14</v>
      </c>
      <c r="J67" s="10">
        <f>Raw_Data!H67</f>
        <v>85</v>
      </c>
      <c r="K67" s="10">
        <f>Raw_Data!I67</f>
        <v>39.950000000000003</v>
      </c>
      <c r="L67" s="10">
        <f>Raw_Data!J67</f>
        <v>1190</v>
      </c>
      <c r="M67" s="11">
        <f>Raw_Data!K67</f>
        <v>0</v>
      </c>
      <c r="N67" s="10">
        <f>Raw_Data!L67</f>
        <v>1190</v>
      </c>
      <c r="O67" s="10">
        <f t="shared" si="2"/>
        <v>630.69999999999993</v>
      </c>
      <c r="P67" s="14">
        <f t="shared" si="3"/>
        <v>0.52999999999999992</v>
      </c>
      <c r="Q67" s="7" t="str">
        <f>Raw_Data!M67</f>
        <v>Cash</v>
      </c>
      <c r="R67" s="7" t="str">
        <f>Raw_Data!N67</f>
        <v>No</v>
      </c>
    </row>
    <row r="68" spans="1:18" x14ac:dyDescent="0.25">
      <c r="A68" s="2" t="str">
        <f>Raw_Data!A68</f>
        <v>ORD-0067</v>
      </c>
      <c r="B68" s="3">
        <f>Raw_Data!B68</f>
        <v>45459</v>
      </c>
      <c r="C68" s="2" t="str">
        <f>TEXT(Raw_Data!B68,"MMM")</f>
        <v>Jun</v>
      </c>
      <c r="D68" s="2">
        <f>YEAR(Raw_Data!B68)</f>
        <v>2024</v>
      </c>
      <c r="E68" s="4" t="str">
        <f>Raw_Data!C68</f>
        <v>Pooja Kumar</v>
      </c>
      <c r="F68" s="2" t="str">
        <f>Raw_Data!D68</f>
        <v>Pune</v>
      </c>
      <c r="G68" s="4" t="str">
        <f>Raw_Data!E68</f>
        <v>Cetirizine Syrup</v>
      </c>
      <c r="H68" s="2" t="str">
        <f>Raw_Data!F68</f>
        <v>Syrup</v>
      </c>
      <c r="I68" s="2">
        <f>Raw_Data!G68</f>
        <v>11</v>
      </c>
      <c r="J68" s="5">
        <f>Raw_Data!H68</f>
        <v>55</v>
      </c>
      <c r="K68" s="5">
        <f>Raw_Data!I68</f>
        <v>26.4</v>
      </c>
      <c r="L68" s="5">
        <f>Raw_Data!J68</f>
        <v>605</v>
      </c>
      <c r="M68" s="6">
        <f>Raw_Data!K68</f>
        <v>10</v>
      </c>
      <c r="N68" s="5">
        <f>Raw_Data!L68</f>
        <v>544.5</v>
      </c>
      <c r="O68" s="5">
        <f t="shared" si="2"/>
        <v>314.60000000000002</v>
      </c>
      <c r="P68" s="13">
        <f t="shared" si="3"/>
        <v>0.52</v>
      </c>
      <c r="Q68" s="2" t="str">
        <f>Raw_Data!M68</f>
        <v>UPI</v>
      </c>
      <c r="R68" s="2" t="str">
        <f>Raw_Data!N68</f>
        <v>Yes</v>
      </c>
    </row>
    <row r="69" spans="1:18" x14ac:dyDescent="0.25">
      <c r="A69" s="7" t="str">
        <f>Raw_Data!A69</f>
        <v>ORD-0068</v>
      </c>
      <c r="B69" s="8">
        <f>Raw_Data!B69</f>
        <v>45333</v>
      </c>
      <c r="C69" s="7" t="str">
        <f>TEXT(Raw_Data!B69,"MMM")</f>
        <v>Feb</v>
      </c>
      <c r="D69" s="7">
        <f>YEAR(Raw_Data!B69)</f>
        <v>2024</v>
      </c>
      <c r="E69" s="9" t="str">
        <f>Raw_Data!C69</f>
        <v>Priya Dubey</v>
      </c>
      <c r="F69" s="7" t="str">
        <f>Raw_Data!D69</f>
        <v>Jaipur</v>
      </c>
      <c r="G69" s="9" t="str">
        <f>Raw_Data!E69</f>
        <v>Omeprazole 20mg</v>
      </c>
      <c r="H69" s="7" t="str">
        <f>Raw_Data!F69</f>
        <v>Capsule</v>
      </c>
      <c r="I69" s="7">
        <f>Raw_Data!G69</f>
        <v>2</v>
      </c>
      <c r="J69" s="10">
        <f>Raw_Data!H69</f>
        <v>40</v>
      </c>
      <c r="K69" s="10">
        <f>Raw_Data!I69</f>
        <v>20</v>
      </c>
      <c r="L69" s="10">
        <f>Raw_Data!J69</f>
        <v>80</v>
      </c>
      <c r="M69" s="11">
        <f>Raw_Data!K69</f>
        <v>10</v>
      </c>
      <c r="N69" s="10">
        <f>Raw_Data!L69</f>
        <v>72</v>
      </c>
      <c r="O69" s="10">
        <f t="shared" si="2"/>
        <v>40</v>
      </c>
      <c r="P69" s="14">
        <f t="shared" si="3"/>
        <v>0.5</v>
      </c>
      <c r="Q69" s="7" t="str">
        <f>Raw_Data!M69</f>
        <v>Cash</v>
      </c>
      <c r="R69" s="7" t="str">
        <f>Raw_Data!N69</f>
        <v>Yes</v>
      </c>
    </row>
    <row r="70" spans="1:18" x14ac:dyDescent="0.25">
      <c r="A70" s="2" t="str">
        <f>Raw_Data!A70</f>
        <v>ORD-0069</v>
      </c>
      <c r="B70" s="3">
        <f>Raw_Data!B70</f>
        <v>45307</v>
      </c>
      <c r="C70" s="2" t="str">
        <f>TEXT(Raw_Data!B70,"MMM")</f>
        <v>Jan</v>
      </c>
      <c r="D70" s="2">
        <f>YEAR(Raw_Data!B70)</f>
        <v>2024</v>
      </c>
      <c r="E70" s="4" t="str">
        <f>Raw_Data!C70</f>
        <v>Sunita Rao</v>
      </c>
      <c r="F70" s="2" t="str">
        <f>Raw_Data!D70</f>
        <v>Mumbai</v>
      </c>
      <c r="G70" s="4" t="str">
        <f>Raw_Data!E70</f>
        <v>Ambroxol Syrup</v>
      </c>
      <c r="H70" s="2" t="str">
        <f>Raw_Data!F70</f>
        <v>Syrup</v>
      </c>
      <c r="I70" s="2">
        <f>Raw_Data!G70</f>
        <v>20</v>
      </c>
      <c r="J70" s="5">
        <f>Raw_Data!H70</f>
        <v>65</v>
      </c>
      <c r="K70" s="5">
        <f>Raw_Data!I70</f>
        <v>31.2</v>
      </c>
      <c r="L70" s="5">
        <f>Raw_Data!J70</f>
        <v>1300</v>
      </c>
      <c r="M70" s="6">
        <f>Raw_Data!K70</f>
        <v>0</v>
      </c>
      <c r="N70" s="5">
        <f>Raw_Data!L70</f>
        <v>1300</v>
      </c>
      <c r="O70" s="5">
        <f t="shared" si="2"/>
        <v>676</v>
      </c>
      <c r="P70" s="13">
        <f t="shared" si="3"/>
        <v>0.52</v>
      </c>
      <c r="Q70" s="2" t="str">
        <f>Raw_Data!M70</f>
        <v>Card</v>
      </c>
      <c r="R70" s="2" t="str">
        <f>Raw_Data!N70</f>
        <v>Yes</v>
      </c>
    </row>
    <row r="71" spans="1:18" x14ac:dyDescent="0.25">
      <c r="A71" s="7" t="str">
        <f>Raw_Data!A71</f>
        <v>ORD-0070</v>
      </c>
      <c r="B71" s="8">
        <f>Raw_Data!B71</f>
        <v>45403</v>
      </c>
      <c r="C71" s="7" t="str">
        <f>TEXT(Raw_Data!B71,"MMM")</f>
        <v>Apr</v>
      </c>
      <c r="D71" s="7">
        <f>YEAR(Raw_Data!B71)</f>
        <v>2024</v>
      </c>
      <c r="E71" s="9" t="str">
        <f>Raw_Data!C71</f>
        <v>Kavita Patel</v>
      </c>
      <c r="F71" s="7" t="str">
        <f>Raw_Data!D71</f>
        <v>Pune</v>
      </c>
      <c r="G71" s="9" t="str">
        <f>Raw_Data!E71</f>
        <v>Fluconazole 150mg</v>
      </c>
      <c r="H71" s="7" t="str">
        <f>Raw_Data!F71</f>
        <v>Capsule</v>
      </c>
      <c r="I71" s="7">
        <f>Raw_Data!G71</f>
        <v>6</v>
      </c>
      <c r="J71" s="10">
        <f>Raw_Data!H71</f>
        <v>75</v>
      </c>
      <c r="K71" s="10">
        <f>Raw_Data!I71</f>
        <v>37.5</v>
      </c>
      <c r="L71" s="10">
        <f>Raw_Data!J71</f>
        <v>450</v>
      </c>
      <c r="M71" s="11">
        <f>Raw_Data!K71</f>
        <v>0</v>
      </c>
      <c r="N71" s="10">
        <f>Raw_Data!L71</f>
        <v>450</v>
      </c>
      <c r="O71" s="10">
        <f t="shared" si="2"/>
        <v>225</v>
      </c>
      <c r="P71" s="14">
        <f t="shared" si="3"/>
        <v>0.5</v>
      </c>
      <c r="Q71" s="7" t="str">
        <f>Raw_Data!M71</f>
        <v>Cash</v>
      </c>
      <c r="R71" s="7" t="str">
        <f>Raw_Data!N71</f>
        <v>No</v>
      </c>
    </row>
    <row r="72" spans="1:18" x14ac:dyDescent="0.25">
      <c r="A72" s="2" t="str">
        <f>Raw_Data!A72</f>
        <v>ORD-0071</v>
      </c>
      <c r="B72" s="3">
        <f>Raw_Data!B72</f>
        <v>45588</v>
      </c>
      <c r="C72" s="2" t="str">
        <f>TEXT(Raw_Data!B72,"MMM")</f>
        <v>Oct</v>
      </c>
      <c r="D72" s="2">
        <f>YEAR(Raw_Data!B72)</f>
        <v>2024</v>
      </c>
      <c r="E72" s="4" t="str">
        <f>Raw_Data!C72</f>
        <v>Vijay Tiwari</v>
      </c>
      <c r="F72" s="2" t="str">
        <f>Raw_Data!D72</f>
        <v>Surat</v>
      </c>
      <c r="G72" s="4" t="str">
        <f>Raw_Data!E72</f>
        <v>Cetirizine 10mg</v>
      </c>
      <c r="H72" s="2" t="str">
        <f>Raw_Data!F72</f>
        <v>Tablet</v>
      </c>
      <c r="I72" s="2">
        <f>Raw_Data!G72</f>
        <v>13</v>
      </c>
      <c r="J72" s="5">
        <f>Raw_Data!H72</f>
        <v>35</v>
      </c>
      <c r="K72" s="5">
        <f>Raw_Data!I72</f>
        <v>18.2</v>
      </c>
      <c r="L72" s="5">
        <f>Raw_Data!J72</f>
        <v>455</v>
      </c>
      <c r="M72" s="6">
        <f>Raw_Data!K72</f>
        <v>10</v>
      </c>
      <c r="N72" s="5">
        <f>Raw_Data!L72</f>
        <v>409.5</v>
      </c>
      <c r="O72" s="5">
        <f t="shared" si="2"/>
        <v>218.4</v>
      </c>
      <c r="P72" s="13">
        <f t="shared" si="3"/>
        <v>0.48000000000000004</v>
      </c>
      <c r="Q72" s="2" t="str">
        <f>Raw_Data!M72</f>
        <v>Cash</v>
      </c>
      <c r="R72" s="2" t="str">
        <f>Raw_Data!N72</f>
        <v>No</v>
      </c>
    </row>
    <row r="73" spans="1:18" x14ac:dyDescent="0.25">
      <c r="A73" s="7" t="str">
        <f>Raw_Data!A73</f>
        <v>ORD-0072</v>
      </c>
      <c r="B73" s="8">
        <f>Raw_Data!B73</f>
        <v>45613</v>
      </c>
      <c r="C73" s="7" t="str">
        <f>TEXT(Raw_Data!B73,"MMM")</f>
        <v>Nov</v>
      </c>
      <c r="D73" s="7">
        <f>YEAR(Raw_Data!B73)</f>
        <v>2024</v>
      </c>
      <c r="E73" s="9" t="str">
        <f>Raw_Data!C73</f>
        <v>Priya Joshi</v>
      </c>
      <c r="F73" s="7" t="str">
        <f>Raw_Data!D73</f>
        <v>Chennai</v>
      </c>
      <c r="G73" s="9" t="str">
        <f>Raw_Data!E73</f>
        <v>Benadryl Cough Syrup</v>
      </c>
      <c r="H73" s="7" t="str">
        <f>Raw_Data!F73</f>
        <v>Syrup</v>
      </c>
      <c r="I73" s="7">
        <f>Raw_Data!G73</f>
        <v>20</v>
      </c>
      <c r="J73" s="10">
        <f>Raw_Data!H73</f>
        <v>110</v>
      </c>
      <c r="K73" s="10">
        <f>Raw_Data!I73</f>
        <v>52.8</v>
      </c>
      <c r="L73" s="10">
        <f>Raw_Data!J73</f>
        <v>2200</v>
      </c>
      <c r="M73" s="11">
        <f>Raw_Data!K73</f>
        <v>0</v>
      </c>
      <c r="N73" s="10">
        <f>Raw_Data!L73</f>
        <v>2200</v>
      </c>
      <c r="O73" s="10">
        <f t="shared" si="2"/>
        <v>1144</v>
      </c>
      <c r="P73" s="14">
        <f t="shared" si="3"/>
        <v>0.52</v>
      </c>
      <c r="Q73" s="7" t="str">
        <f>Raw_Data!M73</f>
        <v>Card</v>
      </c>
      <c r="R73" s="7" t="str">
        <f>Raw_Data!N73</f>
        <v>No</v>
      </c>
    </row>
    <row r="74" spans="1:18" x14ac:dyDescent="0.25">
      <c r="A74" s="2" t="str">
        <f>Raw_Data!A74</f>
        <v>ORD-0073</v>
      </c>
      <c r="B74" s="3">
        <f>Raw_Data!B74</f>
        <v>45564</v>
      </c>
      <c r="C74" s="2" t="str">
        <f>TEXT(Raw_Data!B74,"MMM")</f>
        <v>Sep</v>
      </c>
      <c r="D74" s="2">
        <f>YEAR(Raw_Data!B74)</f>
        <v>2024</v>
      </c>
      <c r="E74" s="4" t="str">
        <f>Raw_Data!C74</f>
        <v>Rekha Patel</v>
      </c>
      <c r="F74" s="2" t="str">
        <f>Raw_Data!D74</f>
        <v>Delhi</v>
      </c>
      <c r="G74" s="4" t="str">
        <f>Raw_Data!E74</f>
        <v>Fluconazole 150mg</v>
      </c>
      <c r="H74" s="2" t="str">
        <f>Raw_Data!F74</f>
        <v>Capsule</v>
      </c>
      <c r="I74" s="2">
        <f>Raw_Data!G74</f>
        <v>17</v>
      </c>
      <c r="J74" s="5">
        <f>Raw_Data!H74</f>
        <v>75</v>
      </c>
      <c r="K74" s="5">
        <f>Raw_Data!I74</f>
        <v>37.5</v>
      </c>
      <c r="L74" s="5">
        <f>Raw_Data!J74</f>
        <v>1275</v>
      </c>
      <c r="M74" s="6">
        <f>Raw_Data!K74</f>
        <v>10</v>
      </c>
      <c r="N74" s="5">
        <f>Raw_Data!L74</f>
        <v>1147.5</v>
      </c>
      <c r="O74" s="5">
        <f t="shared" si="2"/>
        <v>637.5</v>
      </c>
      <c r="P74" s="13">
        <f t="shared" si="3"/>
        <v>0.5</v>
      </c>
      <c r="Q74" s="2" t="str">
        <f>Raw_Data!M74</f>
        <v>Card</v>
      </c>
      <c r="R74" s="2" t="str">
        <f>Raw_Data!N74</f>
        <v>Yes</v>
      </c>
    </row>
    <row r="75" spans="1:18" x14ac:dyDescent="0.25">
      <c r="A75" s="7" t="str">
        <f>Raw_Data!A75</f>
        <v>ORD-0074</v>
      </c>
      <c r="B75" s="8">
        <f>Raw_Data!B75</f>
        <v>45513</v>
      </c>
      <c r="C75" s="7" t="str">
        <f>TEXT(Raw_Data!B75,"MMM")</f>
        <v>Aug</v>
      </c>
      <c r="D75" s="7">
        <f>YEAR(Raw_Data!B75)</f>
        <v>2024</v>
      </c>
      <c r="E75" s="9" t="str">
        <f>Raw_Data!C75</f>
        <v>Suresh Rao</v>
      </c>
      <c r="F75" s="7" t="str">
        <f>Raw_Data!D75</f>
        <v>Bangalore</v>
      </c>
      <c r="G75" s="9" t="str">
        <f>Raw_Data!E75</f>
        <v>Vitamin B12 Inj</v>
      </c>
      <c r="H75" s="7" t="str">
        <f>Raw_Data!F75</f>
        <v>Injection</v>
      </c>
      <c r="I75" s="7">
        <f>Raw_Data!G75</f>
        <v>14</v>
      </c>
      <c r="J75" s="10">
        <f>Raw_Data!H75</f>
        <v>60</v>
      </c>
      <c r="K75" s="10">
        <f>Raw_Data!I75</f>
        <v>36</v>
      </c>
      <c r="L75" s="10">
        <f>Raw_Data!J75</f>
        <v>840</v>
      </c>
      <c r="M75" s="11">
        <f>Raw_Data!K75</f>
        <v>0</v>
      </c>
      <c r="N75" s="10">
        <f>Raw_Data!L75</f>
        <v>840</v>
      </c>
      <c r="O75" s="10">
        <f t="shared" si="2"/>
        <v>336</v>
      </c>
      <c r="P75" s="14">
        <f t="shared" si="3"/>
        <v>0.4</v>
      </c>
      <c r="Q75" s="7" t="str">
        <f>Raw_Data!M75</f>
        <v>UPI</v>
      </c>
      <c r="R75" s="7" t="str">
        <f>Raw_Data!N75</f>
        <v>Yes</v>
      </c>
    </row>
    <row r="76" spans="1:18" x14ac:dyDescent="0.25">
      <c r="A76" s="2" t="str">
        <f>Raw_Data!A76</f>
        <v>ORD-0075</v>
      </c>
      <c r="B76" s="3">
        <f>Raw_Data!B76</f>
        <v>45567</v>
      </c>
      <c r="C76" s="2" t="str">
        <f>TEXT(Raw_Data!B76,"MMM")</f>
        <v>Oct</v>
      </c>
      <c r="D76" s="2">
        <f>YEAR(Raw_Data!B76)</f>
        <v>2024</v>
      </c>
      <c r="E76" s="4" t="str">
        <f>Raw_Data!C76</f>
        <v>Amit Kumar</v>
      </c>
      <c r="F76" s="2" t="str">
        <f>Raw_Data!D76</f>
        <v>Ahmedabad</v>
      </c>
      <c r="G76" s="4" t="str">
        <f>Raw_Data!E76</f>
        <v>Protein Supplement</v>
      </c>
      <c r="H76" s="2" t="str">
        <f>Raw_Data!F76</f>
        <v>Powder</v>
      </c>
      <c r="I76" s="2">
        <f>Raw_Data!G76</f>
        <v>14</v>
      </c>
      <c r="J76" s="5">
        <f>Raw_Data!H76</f>
        <v>450</v>
      </c>
      <c r="K76" s="5">
        <f>Raw_Data!I76</f>
        <v>247.5</v>
      </c>
      <c r="L76" s="5">
        <f>Raw_Data!J76</f>
        <v>6300</v>
      </c>
      <c r="M76" s="6">
        <f>Raw_Data!K76</f>
        <v>5</v>
      </c>
      <c r="N76" s="5">
        <f>Raw_Data!L76</f>
        <v>5985</v>
      </c>
      <c r="O76" s="5">
        <f t="shared" si="2"/>
        <v>2835</v>
      </c>
      <c r="P76" s="13">
        <f t="shared" si="3"/>
        <v>0.45</v>
      </c>
      <c r="Q76" s="2" t="str">
        <f>Raw_Data!M76</f>
        <v>Cash</v>
      </c>
      <c r="R76" s="2" t="str">
        <f>Raw_Data!N76</f>
        <v>No</v>
      </c>
    </row>
    <row r="77" spans="1:18" x14ac:dyDescent="0.25">
      <c r="A77" s="7" t="str">
        <f>Raw_Data!A77</f>
        <v>ORD-0076</v>
      </c>
      <c r="B77" s="8">
        <f>Raw_Data!B77</f>
        <v>45522</v>
      </c>
      <c r="C77" s="7" t="str">
        <f>TEXT(Raw_Data!B77,"MMM")</f>
        <v>Aug</v>
      </c>
      <c r="D77" s="7">
        <f>YEAR(Raw_Data!B77)</f>
        <v>2024</v>
      </c>
      <c r="E77" s="9" t="str">
        <f>Raw_Data!C77</f>
        <v>Arjun Gupta</v>
      </c>
      <c r="F77" s="7" t="str">
        <f>Raw_Data!D77</f>
        <v>Surat</v>
      </c>
      <c r="G77" s="9" t="str">
        <f>Raw_Data!E77</f>
        <v>Cetirizine Syrup</v>
      </c>
      <c r="H77" s="7" t="str">
        <f>Raw_Data!F77</f>
        <v>Syrup</v>
      </c>
      <c r="I77" s="7">
        <f>Raw_Data!G77</f>
        <v>20</v>
      </c>
      <c r="J77" s="10">
        <f>Raw_Data!H77</f>
        <v>55</v>
      </c>
      <c r="K77" s="10">
        <f>Raw_Data!I77</f>
        <v>26.4</v>
      </c>
      <c r="L77" s="10">
        <f>Raw_Data!J77</f>
        <v>1100</v>
      </c>
      <c r="M77" s="11">
        <f>Raw_Data!K77</f>
        <v>10</v>
      </c>
      <c r="N77" s="10">
        <f>Raw_Data!L77</f>
        <v>990</v>
      </c>
      <c r="O77" s="10">
        <f t="shared" si="2"/>
        <v>572</v>
      </c>
      <c r="P77" s="14">
        <f t="shared" si="3"/>
        <v>0.52</v>
      </c>
      <c r="Q77" s="7" t="str">
        <f>Raw_Data!M77</f>
        <v>Card</v>
      </c>
      <c r="R77" s="7" t="str">
        <f>Raw_Data!N77</f>
        <v>No</v>
      </c>
    </row>
    <row r="78" spans="1:18" x14ac:dyDescent="0.25">
      <c r="A78" s="2" t="str">
        <f>Raw_Data!A78</f>
        <v>ORD-0077</v>
      </c>
      <c r="B78" s="3">
        <f>Raw_Data!B78</f>
        <v>45541</v>
      </c>
      <c r="C78" s="2" t="str">
        <f>TEXT(Raw_Data!B78,"MMM")</f>
        <v>Sep</v>
      </c>
      <c r="D78" s="2">
        <f>YEAR(Raw_Data!B78)</f>
        <v>2024</v>
      </c>
      <c r="E78" s="4" t="str">
        <f>Raw_Data!C78</f>
        <v>Suresh Verma</v>
      </c>
      <c r="F78" s="2" t="str">
        <f>Raw_Data!D78</f>
        <v>Chennai</v>
      </c>
      <c r="G78" s="4" t="str">
        <f>Raw_Data!E78</f>
        <v>Paracetamol Syrup</v>
      </c>
      <c r="H78" s="2" t="str">
        <f>Raw_Data!F78</f>
        <v>Syrup</v>
      </c>
      <c r="I78" s="2">
        <f>Raw_Data!G78</f>
        <v>11</v>
      </c>
      <c r="J78" s="5">
        <f>Raw_Data!H78</f>
        <v>45</v>
      </c>
      <c r="K78" s="5">
        <f>Raw_Data!I78</f>
        <v>21.6</v>
      </c>
      <c r="L78" s="5">
        <f>Raw_Data!J78</f>
        <v>495</v>
      </c>
      <c r="M78" s="6">
        <f>Raw_Data!K78</f>
        <v>5</v>
      </c>
      <c r="N78" s="5">
        <f>Raw_Data!L78</f>
        <v>470.25</v>
      </c>
      <c r="O78" s="5">
        <f t="shared" si="2"/>
        <v>257.39999999999998</v>
      </c>
      <c r="P78" s="13">
        <f t="shared" si="3"/>
        <v>0.51999999999999991</v>
      </c>
      <c r="Q78" s="2" t="str">
        <f>Raw_Data!M78</f>
        <v>UPI</v>
      </c>
      <c r="R78" s="2" t="str">
        <f>Raw_Data!N78</f>
        <v>No</v>
      </c>
    </row>
    <row r="79" spans="1:18" x14ac:dyDescent="0.25">
      <c r="A79" s="7" t="str">
        <f>Raw_Data!A79</f>
        <v>ORD-0078</v>
      </c>
      <c r="B79" s="8">
        <f>Raw_Data!B79</f>
        <v>45297</v>
      </c>
      <c r="C79" s="7" t="str">
        <f>TEXT(Raw_Data!B79,"MMM")</f>
        <v>Jan</v>
      </c>
      <c r="D79" s="7">
        <f>YEAR(Raw_Data!B79)</f>
        <v>2024</v>
      </c>
      <c r="E79" s="9" t="str">
        <f>Raw_Data!C79</f>
        <v>Rekha Agarwal</v>
      </c>
      <c r="F79" s="7" t="str">
        <f>Raw_Data!D79</f>
        <v>Delhi</v>
      </c>
      <c r="G79" s="9" t="str">
        <f>Raw_Data!E79</f>
        <v>Otrivin Nasal Drops</v>
      </c>
      <c r="H79" s="7" t="str">
        <f>Raw_Data!F79</f>
        <v>Drops</v>
      </c>
      <c r="I79" s="7">
        <f>Raw_Data!G79</f>
        <v>8</v>
      </c>
      <c r="J79" s="10">
        <f>Raw_Data!H79</f>
        <v>95</v>
      </c>
      <c r="K79" s="10">
        <f>Raw_Data!I79</f>
        <v>42.75</v>
      </c>
      <c r="L79" s="10">
        <f>Raw_Data!J79</f>
        <v>760</v>
      </c>
      <c r="M79" s="11">
        <f>Raw_Data!K79</f>
        <v>10</v>
      </c>
      <c r="N79" s="10">
        <f>Raw_Data!L79</f>
        <v>684</v>
      </c>
      <c r="O79" s="10">
        <f t="shared" si="2"/>
        <v>418</v>
      </c>
      <c r="P79" s="14">
        <f t="shared" si="3"/>
        <v>0.55000000000000004</v>
      </c>
      <c r="Q79" s="7" t="str">
        <f>Raw_Data!M79</f>
        <v>UPI</v>
      </c>
      <c r="R79" s="7" t="str">
        <f>Raw_Data!N79</f>
        <v>No</v>
      </c>
    </row>
    <row r="80" spans="1:18" x14ac:dyDescent="0.25">
      <c r="A80" s="2" t="str">
        <f>Raw_Data!A80</f>
        <v>ORD-0079</v>
      </c>
      <c r="B80" s="3">
        <f>Raw_Data!B80</f>
        <v>45656</v>
      </c>
      <c r="C80" s="2" t="str">
        <f>TEXT(Raw_Data!B80,"MMM")</f>
        <v>Dec</v>
      </c>
      <c r="D80" s="2">
        <f>YEAR(Raw_Data!B80)</f>
        <v>2024</v>
      </c>
      <c r="E80" s="4" t="str">
        <f>Raw_Data!C80</f>
        <v>Kavita Agarwal</v>
      </c>
      <c r="F80" s="2" t="str">
        <f>Raw_Data!D80</f>
        <v>Mumbai</v>
      </c>
      <c r="G80" s="4" t="str">
        <f>Raw_Data!E80</f>
        <v>Vitamin D3 60K</v>
      </c>
      <c r="H80" s="2" t="str">
        <f>Raw_Data!F80</f>
        <v>Capsule</v>
      </c>
      <c r="I80" s="2">
        <f>Raw_Data!G80</f>
        <v>3</v>
      </c>
      <c r="J80" s="5">
        <f>Raw_Data!H80</f>
        <v>55</v>
      </c>
      <c r="K80" s="5">
        <f>Raw_Data!I80</f>
        <v>27.5</v>
      </c>
      <c r="L80" s="5">
        <f>Raw_Data!J80</f>
        <v>165</v>
      </c>
      <c r="M80" s="6">
        <f>Raw_Data!K80</f>
        <v>5</v>
      </c>
      <c r="N80" s="5">
        <f>Raw_Data!L80</f>
        <v>156.75</v>
      </c>
      <c r="O80" s="5">
        <f t="shared" si="2"/>
        <v>82.5</v>
      </c>
      <c r="P80" s="13">
        <f t="shared" si="3"/>
        <v>0.5</v>
      </c>
      <c r="Q80" s="2" t="str">
        <f>Raw_Data!M80</f>
        <v>UPI</v>
      </c>
      <c r="R80" s="2" t="str">
        <f>Raw_Data!N80</f>
        <v>Yes</v>
      </c>
    </row>
    <row r="81" spans="1:18" x14ac:dyDescent="0.25">
      <c r="A81" s="7" t="str">
        <f>Raw_Data!A81</f>
        <v>ORD-0080</v>
      </c>
      <c r="B81" s="8">
        <f>Raw_Data!B81</f>
        <v>45589</v>
      </c>
      <c r="C81" s="7" t="str">
        <f>TEXT(Raw_Data!B81,"MMM")</f>
        <v>Oct</v>
      </c>
      <c r="D81" s="7">
        <f>YEAR(Raw_Data!B81)</f>
        <v>2024</v>
      </c>
      <c r="E81" s="9" t="str">
        <f>Raw_Data!C81</f>
        <v>Arjun Joshi</v>
      </c>
      <c r="F81" s="7" t="str">
        <f>Raw_Data!D81</f>
        <v>Jaipur</v>
      </c>
      <c r="G81" s="9" t="str">
        <f>Raw_Data!E81</f>
        <v>Vitamin B12 Inj</v>
      </c>
      <c r="H81" s="7" t="str">
        <f>Raw_Data!F81</f>
        <v>Injection</v>
      </c>
      <c r="I81" s="7">
        <f>Raw_Data!G81</f>
        <v>17</v>
      </c>
      <c r="J81" s="10">
        <f>Raw_Data!H81</f>
        <v>60</v>
      </c>
      <c r="K81" s="10">
        <f>Raw_Data!I81</f>
        <v>36</v>
      </c>
      <c r="L81" s="10">
        <f>Raw_Data!J81</f>
        <v>1020</v>
      </c>
      <c r="M81" s="11">
        <f>Raw_Data!K81</f>
        <v>10</v>
      </c>
      <c r="N81" s="10">
        <f>Raw_Data!L81</f>
        <v>918</v>
      </c>
      <c r="O81" s="10">
        <f t="shared" si="2"/>
        <v>408</v>
      </c>
      <c r="P81" s="14">
        <f t="shared" si="3"/>
        <v>0.4</v>
      </c>
      <c r="Q81" s="7" t="str">
        <f>Raw_Data!M81</f>
        <v>UPI</v>
      </c>
      <c r="R81" s="7" t="str">
        <f>Raw_Data!N81</f>
        <v>Yes</v>
      </c>
    </row>
    <row r="82" spans="1:18" x14ac:dyDescent="0.25">
      <c r="A82" s="2" t="str">
        <f>Raw_Data!A82</f>
        <v>ORD-0081</v>
      </c>
      <c r="B82" s="3">
        <f>Raw_Data!B82</f>
        <v>45651</v>
      </c>
      <c r="C82" s="2" t="str">
        <f>TEXT(Raw_Data!B82,"MMM")</f>
        <v>Dec</v>
      </c>
      <c r="D82" s="2">
        <f>YEAR(Raw_Data!B82)</f>
        <v>2024</v>
      </c>
      <c r="E82" s="4" t="str">
        <f>Raw_Data!C82</f>
        <v>Sunita Tiwari</v>
      </c>
      <c r="F82" s="2" t="str">
        <f>Raw_Data!D82</f>
        <v>Chennai</v>
      </c>
      <c r="G82" s="4" t="str">
        <f>Raw_Data!E82</f>
        <v>Fluconazole 150mg</v>
      </c>
      <c r="H82" s="2" t="str">
        <f>Raw_Data!F82</f>
        <v>Capsule</v>
      </c>
      <c r="I82" s="2">
        <f>Raw_Data!G82</f>
        <v>9</v>
      </c>
      <c r="J82" s="5">
        <f>Raw_Data!H82</f>
        <v>75</v>
      </c>
      <c r="K82" s="5">
        <f>Raw_Data!I82</f>
        <v>37.5</v>
      </c>
      <c r="L82" s="5">
        <f>Raw_Data!J82</f>
        <v>675</v>
      </c>
      <c r="M82" s="6">
        <f>Raw_Data!K82</f>
        <v>5</v>
      </c>
      <c r="N82" s="5">
        <f>Raw_Data!L82</f>
        <v>641.25</v>
      </c>
      <c r="O82" s="5">
        <f t="shared" si="2"/>
        <v>337.5</v>
      </c>
      <c r="P82" s="13">
        <f t="shared" si="3"/>
        <v>0.5</v>
      </c>
      <c r="Q82" s="2" t="str">
        <f>Raw_Data!M82</f>
        <v>Cash</v>
      </c>
      <c r="R82" s="2" t="str">
        <f>Raw_Data!N82</f>
        <v>Yes</v>
      </c>
    </row>
    <row r="83" spans="1:18" x14ac:dyDescent="0.25">
      <c r="A83" s="7" t="str">
        <f>Raw_Data!A83</f>
        <v>ORD-0082</v>
      </c>
      <c r="B83" s="8">
        <f>Raw_Data!B83</f>
        <v>45566</v>
      </c>
      <c r="C83" s="7" t="str">
        <f>TEXT(Raw_Data!B83,"MMM")</f>
        <v>Oct</v>
      </c>
      <c r="D83" s="7">
        <f>YEAR(Raw_Data!B83)</f>
        <v>2024</v>
      </c>
      <c r="E83" s="9" t="str">
        <f>Raw_Data!C83</f>
        <v>Vijay Dubey</v>
      </c>
      <c r="F83" s="7" t="str">
        <f>Raw_Data!D83</f>
        <v>Bangalore</v>
      </c>
      <c r="G83" s="9" t="str">
        <f>Raw_Data!E83</f>
        <v>Antifungal Powder</v>
      </c>
      <c r="H83" s="7" t="str">
        <f>Raw_Data!F83</f>
        <v>Powder</v>
      </c>
      <c r="I83" s="7">
        <f>Raw_Data!G83</f>
        <v>7</v>
      </c>
      <c r="J83" s="10">
        <f>Raw_Data!H83</f>
        <v>55</v>
      </c>
      <c r="K83" s="10">
        <f>Raw_Data!I83</f>
        <v>30.25</v>
      </c>
      <c r="L83" s="10">
        <f>Raw_Data!J83</f>
        <v>385</v>
      </c>
      <c r="M83" s="11">
        <f>Raw_Data!K83</f>
        <v>5</v>
      </c>
      <c r="N83" s="10">
        <f>Raw_Data!L83</f>
        <v>365.75</v>
      </c>
      <c r="O83" s="10">
        <f t="shared" si="2"/>
        <v>173.25</v>
      </c>
      <c r="P83" s="14">
        <f t="shared" si="3"/>
        <v>0.45</v>
      </c>
      <c r="Q83" s="7" t="str">
        <f>Raw_Data!M83</f>
        <v>Cash</v>
      </c>
      <c r="R83" s="7" t="str">
        <f>Raw_Data!N83</f>
        <v>No</v>
      </c>
    </row>
    <row r="84" spans="1:18" x14ac:dyDescent="0.25">
      <c r="A84" s="2" t="str">
        <f>Raw_Data!A84</f>
        <v>ORD-0083</v>
      </c>
      <c r="B84" s="3">
        <f>Raw_Data!B84</f>
        <v>45560</v>
      </c>
      <c r="C84" s="2" t="str">
        <f>TEXT(Raw_Data!B84,"MMM")</f>
        <v>Sep</v>
      </c>
      <c r="D84" s="2">
        <f>YEAR(Raw_Data!B84)</f>
        <v>2024</v>
      </c>
      <c r="E84" s="4" t="str">
        <f>Raw_Data!C84</f>
        <v>Rahul Tiwari</v>
      </c>
      <c r="F84" s="2" t="str">
        <f>Raw_Data!D84</f>
        <v>Delhi</v>
      </c>
      <c r="G84" s="4" t="str">
        <f>Raw_Data!E84</f>
        <v>Cipla Eye Drops</v>
      </c>
      <c r="H84" s="2" t="str">
        <f>Raw_Data!F84</f>
        <v>Drops</v>
      </c>
      <c r="I84" s="2">
        <f>Raw_Data!G84</f>
        <v>7</v>
      </c>
      <c r="J84" s="5">
        <f>Raw_Data!H84</f>
        <v>70</v>
      </c>
      <c r="K84" s="5">
        <f>Raw_Data!I84</f>
        <v>31.5</v>
      </c>
      <c r="L84" s="5">
        <f>Raw_Data!J84</f>
        <v>490</v>
      </c>
      <c r="M84" s="6">
        <f>Raw_Data!K84</f>
        <v>5</v>
      </c>
      <c r="N84" s="5">
        <f>Raw_Data!L84</f>
        <v>465.5</v>
      </c>
      <c r="O84" s="5">
        <f t="shared" si="2"/>
        <v>269.5</v>
      </c>
      <c r="P84" s="13">
        <f t="shared" si="3"/>
        <v>0.55000000000000004</v>
      </c>
      <c r="Q84" s="2" t="str">
        <f>Raw_Data!M84</f>
        <v>Cash</v>
      </c>
      <c r="R84" s="2" t="str">
        <f>Raw_Data!N84</f>
        <v>Yes</v>
      </c>
    </row>
    <row r="85" spans="1:18" x14ac:dyDescent="0.25">
      <c r="A85" s="7" t="str">
        <f>Raw_Data!A85</f>
        <v>ORD-0084</v>
      </c>
      <c r="B85" s="8">
        <f>Raw_Data!B85</f>
        <v>45565</v>
      </c>
      <c r="C85" s="7" t="str">
        <f>TEXT(Raw_Data!B85,"MMM")</f>
        <v>Sep</v>
      </c>
      <c r="D85" s="7">
        <f>YEAR(Raw_Data!B85)</f>
        <v>2024</v>
      </c>
      <c r="E85" s="9" t="str">
        <f>Raw_Data!C85</f>
        <v>Rekha Patel</v>
      </c>
      <c r="F85" s="7" t="str">
        <f>Raw_Data!D85</f>
        <v>Mumbai</v>
      </c>
      <c r="G85" s="9" t="str">
        <f>Raw_Data!E85</f>
        <v>Paracetamol Syrup</v>
      </c>
      <c r="H85" s="7" t="str">
        <f>Raw_Data!F85</f>
        <v>Syrup</v>
      </c>
      <c r="I85" s="7">
        <f>Raw_Data!G85</f>
        <v>2</v>
      </c>
      <c r="J85" s="10">
        <f>Raw_Data!H85</f>
        <v>45</v>
      </c>
      <c r="K85" s="10">
        <f>Raw_Data!I85</f>
        <v>21.6</v>
      </c>
      <c r="L85" s="10">
        <f>Raw_Data!J85</f>
        <v>90</v>
      </c>
      <c r="M85" s="11">
        <f>Raw_Data!K85</f>
        <v>20</v>
      </c>
      <c r="N85" s="10">
        <f>Raw_Data!L85</f>
        <v>72</v>
      </c>
      <c r="O85" s="10">
        <f t="shared" si="2"/>
        <v>46.8</v>
      </c>
      <c r="P85" s="14">
        <f t="shared" si="3"/>
        <v>0.52</v>
      </c>
      <c r="Q85" s="7" t="str">
        <f>Raw_Data!M85</f>
        <v>UPI</v>
      </c>
      <c r="R85" s="7" t="str">
        <f>Raw_Data!N85</f>
        <v>Yes</v>
      </c>
    </row>
    <row r="86" spans="1:18" x14ac:dyDescent="0.25">
      <c r="A86" s="2" t="str">
        <f>Raw_Data!A86</f>
        <v>ORD-0085</v>
      </c>
      <c r="B86" s="3">
        <f>Raw_Data!B86</f>
        <v>45298</v>
      </c>
      <c r="C86" s="2" t="str">
        <f>TEXT(Raw_Data!B86,"MMM")</f>
        <v>Jan</v>
      </c>
      <c r="D86" s="2">
        <f>YEAR(Raw_Data!B86)</f>
        <v>2024</v>
      </c>
      <c r="E86" s="4" t="str">
        <f>Raw_Data!C86</f>
        <v>Suresh Mishra</v>
      </c>
      <c r="F86" s="2" t="str">
        <f>Raw_Data!D86</f>
        <v>Ahmedabad</v>
      </c>
      <c r="G86" s="4" t="str">
        <f>Raw_Data!E86</f>
        <v>Cipla Eye Drops</v>
      </c>
      <c r="H86" s="2" t="str">
        <f>Raw_Data!F86</f>
        <v>Drops</v>
      </c>
      <c r="I86" s="2">
        <f>Raw_Data!G86</f>
        <v>16</v>
      </c>
      <c r="J86" s="5">
        <f>Raw_Data!H86</f>
        <v>70</v>
      </c>
      <c r="K86" s="5">
        <f>Raw_Data!I86</f>
        <v>31.5</v>
      </c>
      <c r="L86" s="5">
        <f>Raw_Data!J86</f>
        <v>1120</v>
      </c>
      <c r="M86" s="6">
        <f>Raw_Data!K86</f>
        <v>15</v>
      </c>
      <c r="N86" s="5">
        <f>Raw_Data!L86</f>
        <v>952</v>
      </c>
      <c r="O86" s="5">
        <f t="shared" si="2"/>
        <v>616</v>
      </c>
      <c r="P86" s="13">
        <f t="shared" si="3"/>
        <v>0.55000000000000004</v>
      </c>
      <c r="Q86" s="2" t="str">
        <f>Raw_Data!M86</f>
        <v>UPI</v>
      </c>
      <c r="R86" s="2" t="str">
        <f>Raw_Data!N86</f>
        <v>Yes</v>
      </c>
    </row>
    <row r="87" spans="1:18" x14ac:dyDescent="0.25">
      <c r="A87" s="7" t="str">
        <f>Raw_Data!A87</f>
        <v>ORD-0086</v>
      </c>
      <c r="B87" s="8">
        <f>Raw_Data!B87</f>
        <v>45536</v>
      </c>
      <c r="C87" s="7" t="str">
        <f>TEXT(Raw_Data!B87,"MMM")</f>
        <v>Sep</v>
      </c>
      <c r="D87" s="7">
        <f>YEAR(Raw_Data!B87)</f>
        <v>2024</v>
      </c>
      <c r="E87" s="9" t="str">
        <f>Raw_Data!C87</f>
        <v>Vikram Gupta</v>
      </c>
      <c r="F87" s="7" t="str">
        <f>Raw_Data!D87</f>
        <v>Kolkata</v>
      </c>
      <c r="G87" s="9" t="str">
        <f>Raw_Data!E87</f>
        <v>Amoxicillin 250mg</v>
      </c>
      <c r="H87" s="7" t="str">
        <f>Raw_Data!F87</f>
        <v>Tablet</v>
      </c>
      <c r="I87" s="7">
        <f>Raw_Data!G87</f>
        <v>16</v>
      </c>
      <c r="J87" s="10">
        <f>Raw_Data!H87</f>
        <v>85</v>
      </c>
      <c r="K87" s="10">
        <f>Raw_Data!I87</f>
        <v>44.2</v>
      </c>
      <c r="L87" s="10">
        <f>Raw_Data!J87</f>
        <v>1360</v>
      </c>
      <c r="M87" s="11">
        <f>Raw_Data!K87</f>
        <v>0</v>
      </c>
      <c r="N87" s="10">
        <f>Raw_Data!L87</f>
        <v>1360</v>
      </c>
      <c r="O87" s="10">
        <f t="shared" si="2"/>
        <v>652.79999999999995</v>
      </c>
      <c r="P87" s="14">
        <f t="shared" si="3"/>
        <v>0.48</v>
      </c>
      <c r="Q87" s="7" t="str">
        <f>Raw_Data!M87</f>
        <v>UPI</v>
      </c>
      <c r="R87" s="7" t="str">
        <f>Raw_Data!N87</f>
        <v>Yes</v>
      </c>
    </row>
    <row r="88" spans="1:18" x14ac:dyDescent="0.25">
      <c r="A88" s="2" t="str">
        <f>Raw_Data!A88</f>
        <v>ORD-0087</v>
      </c>
      <c r="B88" s="3">
        <f>Raw_Data!B88</f>
        <v>45580</v>
      </c>
      <c r="C88" s="2" t="str">
        <f>TEXT(Raw_Data!B88,"MMM")</f>
        <v>Oct</v>
      </c>
      <c r="D88" s="2">
        <f>YEAR(Raw_Data!B88)</f>
        <v>2024</v>
      </c>
      <c r="E88" s="4" t="str">
        <f>Raw_Data!C88</f>
        <v>Nisha Singh</v>
      </c>
      <c r="F88" s="2" t="str">
        <f>Raw_Data!D88</f>
        <v>Hyderabad</v>
      </c>
      <c r="G88" s="4" t="str">
        <f>Raw_Data!E88</f>
        <v>Insulin Glargine</v>
      </c>
      <c r="H88" s="2" t="str">
        <f>Raw_Data!F88</f>
        <v>Injection</v>
      </c>
      <c r="I88" s="2">
        <f>Raw_Data!G88</f>
        <v>4</v>
      </c>
      <c r="J88" s="5">
        <f>Raw_Data!H88</f>
        <v>850</v>
      </c>
      <c r="K88" s="5">
        <f>Raw_Data!I88</f>
        <v>510</v>
      </c>
      <c r="L88" s="5">
        <f>Raw_Data!J88</f>
        <v>3400</v>
      </c>
      <c r="M88" s="6">
        <f>Raw_Data!K88</f>
        <v>20</v>
      </c>
      <c r="N88" s="5">
        <f>Raw_Data!L88</f>
        <v>2720</v>
      </c>
      <c r="O88" s="5">
        <f t="shared" si="2"/>
        <v>1360</v>
      </c>
      <c r="P88" s="13">
        <f t="shared" si="3"/>
        <v>0.4</v>
      </c>
      <c r="Q88" s="2" t="str">
        <f>Raw_Data!M88</f>
        <v>UPI</v>
      </c>
      <c r="R88" s="2" t="str">
        <f>Raw_Data!N88</f>
        <v>Yes</v>
      </c>
    </row>
    <row r="89" spans="1:18" x14ac:dyDescent="0.25">
      <c r="A89" s="7" t="str">
        <f>Raw_Data!A89</f>
        <v>ORD-0088</v>
      </c>
      <c r="B89" s="8">
        <f>Raw_Data!B89</f>
        <v>45559</v>
      </c>
      <c r="C89" s="7" t="str">
        <f>TEXT(Raw_Data!B89,"MMM")</f>
        <v>Sep</v>
      </c>
      <c r="D89" s="7">
        <f>YEAR(Raw_Data!B89)</f>
        <v>2024</v>
      </c>
      <c r="E89" s="9" t="str">
        <f>Raw_Data!C89</f>
        <v>Nisha Tiwari</v>
      </c>
      <c r="F89" s="7" t="str">
        <f>Raw_Data!D89</f>
        <v>Ahmedabad</v>
      </c>
      <c r="G89" s="9" t="str">
        <f>Raw_Data!E89</f>
        <v>Vitamin D3 60K</v>
      </c>
      <c r="H89" s="7" t="str">
        <f>Raw_Data!F89</f>
        <v>Capsule</v>
      </c>
      <c r="I89" s="7">
        <f>Raw_Data!G89</f>
        <v>10</v>
      </c>
      <c r="J89" s="10">
        <f>Raw_Data!H89</f>
        <v>55</v>
      </c>
      <c r="K89" s="10">
        <f>Raw_Data!I89</f>
        <v>27.5</v>
      </c>
      <c r="L89" s="10">
        <f>Raw_Data!J89</f>
        <v>550</v>
      </c>
      <c r="M89" s="11">
        <f>Raw_Data!K89</f>
        <v>10</v>
      </c>
      <c r="N89" s="10">
        <f>Raw_Data!L89</f>
        <v>495</v>
      </c>
      <c r="O89" s="10">
        <f t="shared" si="2"/>
        <v>275</v>
      </c>
      <c r="P89" s="14">
        <f t="shared" si="3"/>
        <v>0.5</v>
      </c>
      <c r="Q89" s="7" t="str">
        <f>Raw_Data!M89</f>
        <v>UPI</v>
      </c>
      <c r="R89" s="7" t="str">
        <f>Raw_Data!N89</f>
        <v>Yes</v>
      </c>
    </row>
    <row r="90" spans="1:18" x14ac:dyDescent="0.25">
      <c r="A90" s="2" t="str">
        <f>Raw_Data!A90</f>
        <v>ORD-0089</v>
      </c>
      <c r="B90" s="3">
        <f>Raw_Data!B90</f>
        <v>45342</v>
      </c>
      <c r="C90" s="2" t="str">
        <f>TEXT(Raw_Data!B90,"MMM")</f>
        <v>Feb</v>
      </c>
      <c r="D90" s="2">
        <f>YEAR(Raw_Data!B90)</f>
        <v>2024</v>
      </c>
      <c r="E90" s="4" t="str">
        <f>Raw_Data!C90</f>
        <v>Amit Gupta</v>
      </c>
      <c r="F90" s="2" t="str">
        <f>Raw_Data!D90</f>
        <v>Hyderabad</v>
      </c>
      <c r="G90" s="4" t="str">
        <f>Raw_Data!E90</f>
        <v>ORS Electrolyte</v>
      </c>
      <c r="H90" s="2" t="str">
        <f>Raw_Data!F90</f>
        <v>Powder</v>
      </c>
      <c r="I90" s="2">
        <f>Raw_Data!G90</f>
        <v>9</v>
      </c>
      <c r="J90" s="5">
        <f>Raw_Data!H90</f>
        <v>30</v>
      </c>
      <c r="K90" s="5">
        <f>Raw_Data!I90</f>
        <v>16.5</v>
      </c>
      <c r="L90" s="5">
        <f>Raw_Data!J90</f>
        <v>270</v>
      </c>
      <c r="M90" s="6">
        <f>Raw_Data!K90</f>
        <v>0</v>
      </c>
      <c r="N90" s="5">
        <f>Raw_Data!L90</f>
        <v>270</v>
      </c>
      <c r="O90" s="5">
        <f t="shared" si="2"/>
        <v>121.5</v>
      </c>
      <c r="P90" s="13">
        <f t="shared" si="3"/>
        <v>0.45</v>
      </c>
      <c r="Q90" s="2" t="str">
        <f>Raw_Data!M90</f>
        <v>Cash</v>
      </c>
      <c r="R90" s="2" t="str">
        <f>Raw_Data!N90</f>
        <v>No</v>
      </c>
    </row>
    <row r="91" spans="1:18" x14ac:dyDescent="0.25">
      <c r="A91" s="7" t="str">
        <f>Raw_Data!A91</f>
        <v>ORD-0090</v>
      </c>
      <c r="B91" s="8">
        <f>Raw_Data!B91</f>
        <v>45293</v>
      </c>
      <c r="C91" s="7" t="str">
        <f>TEXT(Raw_Data!B91,"MMM")</f>
        <v>Jan</v>
      </c>
      <c r="D91" s="7">
        <f>YEAR(Raw_Data!B91)</f>
        <v>2024</v>
      </c>
      <c r="E91" s="9" t="str">
        <f>Raw_Data!C91</f>
        <v>Kavita Tiwari</v>
      </c>
      <c r="F91" s="7" t="str">
        <f>Raw_Data!D91</f>
        <v>Surat</v>
      </c>
      <c r="G91" s="9" t="str">
        <f>Raw_Data!E91</f>
        <v>Vitamin D3 60K</v>
      </c>
      <c r="H91" s="7" t="str">
        <f>Raw_Data!F91</f>
        <v>Capsule</v>
      </c>
      <c r="I91" s="7">
        <f>Raw_Data!G91</f>
        <v>16</v>
      </c>
      <c r="J91" s="10">
        <f>Raw_Data!H91</f>
        <v>55</v>
      </c>
      <c r="K91" s="10">
        <f>Raw_Data!I91</f>
        <v>27.5</v>
      </c>
      <c r="L91" s="10">
        <f>Raw_Data!J91</f>
        <v>880</v>
      </c>
      <c r="M91" s="11">
        <f>Raw_Data!K91</f>
        <v>5</v>
      </c>
      <c r="N91" s="10">
        <f>Raw_Data!L91</f>
        <v>836</v>
      </c>
      <c r="O91" s="10">
        <f t="shared" si="2"/>
        <v>440</v>
      </c>
      <c r="P91" s="14">
        <f t="shared" si="3"/>
        <v>0.5</v>
      </c>
      <c r="Q91" s="7" t="str">
        <f>Raw_Data!M91</f>
        <v>Cash</v>
      </c>
      <c r="R91" s="7" t="str">
        <f>Raw_Data!N91</f>
        <v>Yes</v>
      </c>
    </row>
    <row r="92" spans="1:18" x14ac:dyDescent="0.25">
      <c r="A92" s="2" t="str">
        <f>Raw_Data!A92</f>
        <v>ORD-0091</v>
      </c>
      <c r="B92" s="3">
        <f>Raw_Data!B92</f>
        <v>45524</v>
      </c>
      <c r="C92" s="2" t="str">
        <f>TEXT(Raw_Data!B92,"MMM")</f>
        <v>Aug</v>
      </c>
      <c r="D92" s="2">
        <f>YEAR(Raw_Data!B92)</f>
        <v>2024</v>
      </c>
      <c r="E92" s="4" t="str">
        <f>Raw_Data!C92</f>
        <v>Vikram Nair</v>
      </c>
      <c r="F92" s="2" t="str">
        <f>Raw_Data!D92</f>
        <v>Chennai</v>
      </c>
      <c r="G92" s="4" t="str">
        <f>Raw_Data!E92</f>
        <v>Atorvastatin 10mg</v>
      </c>
      <c r="H92" s="2" t="str">
        <f>Raw_Data!F92</f>
        <v>Tablet</v>
      </c>
      <c r="I92" s="2">
        <f>Raw_Data!G92</f>
        <v>19</v>
      </c>
      <c r="J92" s="5">
        <f>Raw_Data!H92</f>
        <v>120</v>
      </c>
      <c r="K92" s="5">
        <f>Raw_Data!I92</f>
        <v>62.4</v>
      </c>
      <c r="L92" s="5">
        <f>Raw_Data!J92</f>
        <v>2280</v>
      </c>
      <c r="M92" s="6">
        <f>Raw_Data!K92</f>
        <v>5</v>
      </c>
      <c r="N92" s="5">
        <f>Raw_Data!L92</f>
        <v>2166</v>
      </c>
      <c r="O92" s="5">
        <f t="shared" si="2"/>
        <v>1094.4000000000001</v>
      </c>
      <c r="P92" s="13">
        <f t="shared" si="3"/>
        <v>0.48000000000000004</v>
      </c>
      <c r="Q92" s="2" t="str">
        <f>Raw_Data!M92</f>
        <v>Card</v>
      </c>
      <c r="R92" s="2" t="str">
        <f>Raw_Data!N92</f>
        <v>Yes</v>
      </c>
    </row>
    <row r="93" spans="1:18" x14ac:dyDescent="0.25">
      <c r="A93" s="7" t="str">
        <f>Raw_Data!A93</f>
        <v>ORD-0092</v>
      </c>
      <c r="B93" s="8">
        <f>Raw_Data!B93</f>
        <v>45428</v>
      </c>
      <c r="C93" s="7" t="str">
        <f>TEXT(Raw_Data!B93,"MMM")</f>
        <v>May</v>
      </c>
      <c r="D93" s="7">
        <f>YEAR(Raw_Data!B93)</f>
        <v>2024</v>
      </c>
      <c r="E93" s="9" t="str">
        <f>Raw_Data!C93</f>
        <v>Vijay Nair</v>
      </c>
      <c r="F93" s="7" t="str">
        <f>Raw_Data!D93</f>
        <v>Delhi</v>
      </c>
      <c r="G93" s="9" t="str">
        <f>Raw_Data!E93</f>
        <v>ORS Electrolyte</v>
      </c>
      <c r="H93" s="7" t="str">
        <f>Raw_Data!F93</f>
        <v>Powder</v>
      </c>
      <c r="I93" s="7">
        <f>Raw_Data!G93</f>
        <v>2</v>
      </c>
      <c r="J93" s="10">
        <f>Raw_Data!H93</f>
        <v>30</v>
      </c>
      <c r="K93" s="10">
        <f>Raw_Data!I93</f>
        <v>16.5</v>
      </c>
      <c r="L93" s="10">
        <f>Raw_Data!J93</f>
        <v>60</v>
      </c>
      <c r="M93" s="11">
        <f>Raw_Data!K93</f>
        <v>0</v>
      </c>
      <c r="N93" s="10">
        <f>Raw_Data!L93</f>
        <v>60</v>
      </c>
      <c r="O93" s="10">
        <f t="shared" si="2"/>
        <v>27</v>
      </c>
      <c r="P93" s="14">
        <f t="shared" si="3"/>
        <v>0.45</v>
      </c>
      <c r="Q93" s="7" t="str">
        <f>Raw_Data!M93</f>
        <v>Card</v>
      </c>
      <c r="R93" s="7" t="str">
        <f>Raw_Data!N93</f>
        <v>No</v>
      </c>
    </row>
    <row r="94" spans="1:18" x14ac:dyDescent="0.25">
      <c r="A94" s="2" t="str">
        <f>Raw_Data!A94</f>
        <v>ORD-0093</v>
      </c>
      <c r="B94" s="3">
        <f>Raw_Data!B94</f>
        <v>45439</v>
      </c>
      <c r="C94" s="2" t="str">
        <f>TEXT(Raw_Data!B94,"MMM")</f>
        <v>May</v>
      </c>
      <c r="D94" s="2">
        <f>YEAR(Raw_Data!B94)</f>
        <v>2024</v>
      </c>
      <c r="E94" s="4" t="str">
        <f>Raw_Data!C94</f>
        <v>Rekha Shah</v>
      </c>
      <c r="F94" s="2" t="str">
        <f>Raw_Data!D94</f>
        <v>Ahmedabad</v>
      </c>
      <c r="G94" s="4" t="str">
        <f>Raw_Data!E94</f>
        <v>Omeprazole 20mg</v>
      </c>
      <c r="H94" s="2" t="str">
        <f>Raw_Data!F94</f>
        <v>Capsule</v>
      </c>
      <c r="I94" s="2">
        <f>Raw_Data!G94</f>
        <v>10</v>
      </c>
      <c r="J94" s="5">
        <f>Raw_Data!H94</f>
        <v>40</v>
      </c>
      <c r="K94" s="5">
        <f>Raw_Data!I94</f>
        <v>20</v>
      </c>
      <c r="L94" s="5">
        <f>Raw_Data!J94</f>
        <v>400</v>
      </c>
      <c r="M94" s="6">
        <f>Raw_Data!K94</f>
        <v>10</v>
      </c>
      <c r="N94" s="5">
        <f>Raw_Data!L94</f>
        <v>360</v>
      </c>
      <c r="O94" s="5">
        <f t="shared" si="2"/>
        <v>200</v>
      </c>
      <c r="P94" s="13">
        <f t="shared" si="3"/>
        <v>0.5</v>
      </c>
      <c r="Q94" s="2" t="str">
        <f>Raw_Data!M94</f>
        <v>Card</v>
      </c>
      <c r="R94" s="2" t="str">
        <f>Raw_Data!N94</f>
        <v>No</v>
      </c>
    </row>
    <row r="95" spans="1:18" x14ac:dyDescent="0.25">
      <c r="A95" s="7" t="str">
        <f>Raw_Data!A95</f>
        <v>ORD-0094</v>
      </c>
      <c r="B95" s="8">
        <f>Raw_Data!B95</f>
        <v>45333</v>
      </c>
      <c r="C95" s="7" t="str">
        <f>TEXT(Raw_Data!B95,"MMM")</f>
        <v>Feb</v>
      </c>
      <c r="D95" s="7">
        <f>YEAR(Raw_Data!B95)</f>
        <v>2024</v>
      </c>
      <c r="E95" s="9" t="str">
        <f>Raw_Data!C95</f>
        <v>Vijay Rao</v>
      </c>
      <c r="F95" s="7" t="str">
        <f>Raw_Data!D95</f>
        <v>Kolkata</v>
      </c>
      <c r="G95" s="9" t="str">
        <f>Raw_Data!E95</f>
        <v>Otrivin Nasal Drops</v>
      </c>
      <c r="H95" s="7" t="str">
        <f>Raw_Data!F95</f>
        <v>Drops</v>
      </c>
      <c r="I95" s="7">
        <f>Raw_Data!G95</f>
        <v>11</v>
      </c>
      <c r="J95" s="10">
        <f>Raw_Data!H95</f>
        <v>95</v>
      </c>
      <c r="K95" s="10">
        <f>Raw_Data!I95</f>
        <v>42.75</v>
      </c>
      <c r="L95" s="10">
        <f>Raw_Data!J95</f>
        <v>1045</v>
      </c>
      <c r="M95" s="11">
        <f>Raw_Data!K95</f>
        <v>5</v>
      </c>
      <c r="N95" s="10">
        <f>Raw_Data!L95</f>
        <v>992.75</v>
      </c>
      <c r="O95" s="10">
        <f t="shared" si="2"/>
        <v>574.75</v>
      </c>
      <c r="P95" s="14">
        <f t="shared" si="3"/>
        <v>0.55000000000000004</v>
      </c>
      <c r="Q95" s="7" t="str">
        <f>Raw_Data!M95</f>
        <v>Cash</v>
      </c>
      <c r="R95" s="7" t="str">
        <f>Raw_Data!N95</f>
        <v>Yes</v>
      </c>
    </row>
    <row r="96" spans="1:18" x14ac:dyDescent="0.25">
      <c r="A96" s="2" t="str">
        <f>Raw_Data!A96</f>
        <v>ORD-0095</v>
      </c>
      <c r="B96" s="3">
        <f>Raw_Data!B96</f>
        <v>45302</v>
      </c>
      <c r="C96" s="2" t="str">
        <f>TEXT(Raw_Data!B96,"MMM")</f>
        <v>Jan</v>
      </c>
      <c r="D96" s="2">
        <f>YEAR(Raw_Data!B96)</f>
        <v>2024</v>
      </c>
      <c r="E96" s="4" t="str">
        <f>Raw_Data!C96</f>
        <v>Manish Agarwal</v>
      </c>
      <c r="F96" s="2" t="str">
        <f>Raw_Data!D96</f>
        <v>Chennai</v>
      </c>
      <c r="G96" s="4" t="str">
        <f>Raw_Data!E96</f>
        <v>Antifungal Powder</v>
      </c>
      <c r="H96" s="2" t="str">
        <f>Raw_Data!F96</f>
        <v>Powder</v>
      </c>
      <c r="I96" s="2">
        <f>Raw_Data!G96</f>
        <v>19</v>
      </c>
      <c r="J96" s="5">
        <f>Raw_Data!H96</f>
        <v>55</v>
      </c>
      <c r="K96" s="5">
        <f>Raw_Data!I96</f>
        <v>30.25</v>
      </c>
      <c r="L96" s="5">
        <f>Raw_Data!J96</f>
        <v>1045</v>
      </c>
      <c r="M96" s="6">
        <f>Raw_Data!K96</f>
        <v>0</v>
      </c>
      <c r="N96" s="5">
        <f>Raw_Data!L96</f>
        <v>1045</v>
      </c>
      <c r="O96" s="5">
        <f t="shared" si="2"/>
        <v>470.25</v>
      </c>
      <c r="P96" s="13">
        <f t="shared" si="3"/>
        <v>0.45</v>
      </c>
      <c r="Q96" s="2" t="str">
        <f>Raw_Data!M96</f>
        <v>Cash</v>
      </c>
      <c r="R96" s="2" t="str">
        <f>Raw_Data!N96</f>
        <v>No</v>
      </c>
    </row>
    <row r="97" spans="1:18" x14ac:dyDescent="0.25">
      <c r="A97" s="7" t="str">
        <f>Raw_Data!A97</f>
        <v>ORD-0096</v>
      </c>
      <c r="B97" s="8">
        <f>Raw_Data!B97</f>
        <v>45518</v>
      </c>
      <c r="C97" s="7" t="str">
        <f>TEXT(Raw_Data!B97,"MMM")</f>
        <v>Aug</v>
      </c>
      <c r="D97" s="7">
        <f>YEAR(Raw_Data!B97)</f>
        <v>2024</v>
      </c>
      <c r="E97" s="9" t="str">
        <f>Raw_Data!C97</f>
        <v>Pooja Joshi</v>
      </c>
      <c r="F97" s="7" t="str">
        <f>Raw_Data!D97</f>
        <v>Surat</v>
      </c>
      <c r="G97" s="9" t="str">
        <f>Raw_Data!E97</f>
        <v>Ondansetron Inj</v>
      </c>
      <c r="H97" s="7" t="str">
        <f>Raw_Data!F97</f>
        <v>Injection</v>
      </c>
      <c r="I97" s="7">
        <f>Raw_Data!G97</f>
        <v>14</v>
      </c>
      <c r="J97" s="10">
        <f>Raw_Data!H97</f>
        <v>120</v>
      </c>
      <c r="K97" s="10">
        <f>Raw_Data!I97</f>
        <v>72</v>
      </c>
      <c r="L97" s="10">
        <f>Raw_Data!J97</f>
        <v>1680</v>
      </c>
      <c r="M97" s="11">
        <f>Raw_Data!K97</f>
        <v>15</v>
      </c>
      <c r="N97" s="10">
        <f>Raw_Data!L97</f>
        <v>1428</v>
      </c>
      <c r="O97" s="10">
        <f t="shared" si="2"/>
        <v>672</v>
      </c>
      <c r="P97" s="14">
        <f t="shared" si="3"/>
        <v>0.4</v>
      </c>
      <c r="Q97" s="7" t="str">
        <f>Raw_Data!M97</f>
        <v>Card</v>
      </c>
      <c r="R97" s="7" t="str">
        <f>Raw_Data!N97</f>
        <v>No</v>
      </c>
    </row>
    <row r="98" spans="1:18" x14ac:dyDescent="0.25">
      <c r="A98" s="2" t="str">
        <f>Raw_Data!A98</f>
        <v>ORD-0097</v>
      </c>
      <c r="B98" s="3">
        <f>Raw_Data!B98</f>
        <v>45456</v>
      </c>
      <c r="C98" s="2" t="str">
        <f>TEXT(Raw_Data!B98,"MMM")</f>
        <v>Jun</v>
      </c>
      <c r="D98" s="2">
        <f>YEAR(Raw_Data!B98)</f>
        <v>2024</v>
      </c>
      <c r="E98" s="4" t="str">
        <f>Raw_Data!C98</f>
        <v>Nikhil Mishra</v>
      </c>
      <c r="F98" s="2" t="str">
        <f>Raw_Data!D98</f>
        <v>Bangalore</v>
      </c>
      <c r="G98" s="4" t="str">
        <f>Raw_Data!E98</f>
        <v>Betadine Cream</v>
      </c>
      <c r="H98" s="2" t="str">
        <f>Raw_Data!F98</f>
        <v>Cream</v>
      </c>
      <c r="I98" s="2">
        <f>Raw_Data!G98</f>
        <v>11</v>
      </c>
      <c r="J98" s="5">
        <f>Raw_Data!H98</f>
        <v>85</v>
      </c>
      <c r="K98" s="5">
        <f>Raw_Data!I98</f>
        <v>39.950000000000003</v>
      </c>
      <c r="L98" s="5">
        <f>Raw_Data!J98</f>
        <v>935</v>
      </c>
      <c r="M98" s="6">
        <f>Raw_Data!K98</f>
        <v>10</v>
      </c>
      <c r="N98" s="5">
        <f>Raw_Data!L98</f>
        <v>841.5</v>
      </c>
      <c r="O98" s="5">
        <f t="shared" si="2"/>
        <v>495.54999999999995</v>
      </c>
      <c r="P98" s="13">
        <f t="shared" si="3"/>
        <v>0.52999999999999992</v>
      </c>
      <c r="Q98" s="2" t="str">
        <f>Raw_Data!M98</f>
        <v>Cash</v>
      </c>
      <c r="R98" s="2" t="str">
        <f>Raw_Data!N98</f>
        <v>No</v>
      </c>
    </row>
    <row r="99" spans="1:18" x14ac:dyDescent="0.25">
      <c r="A99" s="7" t="str">
        <f>Raw_Data!A99</f>
        <v>ORD-0098</v>
      </c>
      <c r="B99" s="8">
        <f>Raw_Data!B99</f>
        <v>45573</v>
      </c>
      <c r="C99" s="7" t="str">
        <f>TEXT(Raw_Data!B99,"MMM")</f>
        <v>Oct</v>
      </c>
      <c r="D99" s="7">
        <f>YEAR(Raw_Data!B99)</f>
        <v>2024</v>
      </c>
      <c r="E99" s="9" t="str">
        <f>Raw_Data!C99</f>
        <v>Nikhil Mishra</v>
      </c>
      <c r="F99" s="7" t="str">
        <f>Raw_Data!D99</f>
        <v>Delhi</v>
      </c>
      <c r="G99" s="9" t="str">
        <f>Raw_Data!E99</f>
        <v>Pantoprazole 40mg</v>
      </c>
      <c r="H99" s="7" t="str">
        <f>Raw_Data!F99</f>
        <v>Tablet</v>
      </c>
      <c r="I99" s="7">
        <f>Raw_Data!G99</f>
        <v>11</v>
      </c>
      <c r="J99" s="10">
        <f>Raw_Data!H99</f>
        <v>75</v>
      </c>
      <c r="K99" s="10">
        <f>Raw_Data!I99</f>
        <v>39</v>
      </c>
      <c r="L99" s="10">
        <f>Raw_Data!J99</f>
        <v>825</v>
      </c>
      <c r="M99" s="11">
        <f>Raw_Data!K99</f>
        <v>5</v>
      </c>
      <c r="N99" s="10">
        <f>Raw_Data!L99</f>
        <v>783.75</v>
      </c>
      <c r="O99" s="10">
        <f t="shared" si="2"/>
        <v>396</v>
      </c>
      <c r="P99" s="14">
        <f t="shared" si="3"/>
        <v>0.48</v>
      </c>
      <c r="Q99" s="7" t="str">
        <f>Raw_Data!M99</f>
        <v>UPI</v>
      </c>
      <c r="R99" s="7" t="str">
        <f>Raw_Data!N99</f>
        <v>Yes</v>
      </c>
    </row>
    <row r="100" spans="1:18" x14ac:dyDescent="0.25">
      <c r="A100" s="2" t="str">
        <f>Raw_Data!A100</f>
        <v>ORD-0099</v>
      </c>
      <c r="B100" s="3">
        <f>Raw_Data!B100</f>
        <v>45555</v>
      </c>
      <c r="C100" s="2" t="str">
        <f>TEXT(Raw_Data!B100,"MMM")</f>
        <v>Sep</v>
      </c>
      <c r="D100" s="2">
        <f>YEAR(Raw_Data!B100)</f>
        <v>2024</v>
      </c>
      <c r="E100" s="4" t="str">
        <f>Raw_Data!C100</f>
        <v>Nisha Dubey</v>
      </c>
      <c r="F100" s="2" t="str">
        <f>Raw_Data!D100</f>
        <v>Jaipur</v>
      </c>
      <c r="G100" s="4" t="str">
        <f>Raw_Data!E100</f>
        <v>ORS Electrolyte</v>
      </c>
      <c r="H100" s="2" t="str">
        <f>Raw_Data!F100</f>
        <v>Powder</v>
      </c>
      <c r="I100" s="2">
        <f>Raw_Data!G100</f>
        <v>15</v>
      </c>
      <c r="J100" s="5">
        <f>Raw_Data!H100</f>
        <v>30</v>
      </c>
      <c r="K100" s="5">
        <f>Raw_Data!I100</f>
        <v>16.5</v>
      </c>
      <c r="L100" s="5">
        <f>Raw_Data!J100</f>
        <v>450</v>
      </c>
      <c r="M100" s="6">
        <f>Raw_Data!K100</f>
        <v>10</v>
      </c>
      <c r="N100" s="5">
        <f>Raw_Data!L100</f>
        <v>405</v>
      </c>
      <c r="O100" s="5">
        <f t="shared" si="2"/>
        <v>202.5</v>
      </c>
      <c r="P100" s="13">
        <f t="shared" si="3"/>
        <v>0.45</v>
      </c>
      <c r="Q100" s="2" t="str">
        <f>Raw_Data!M100</f>
        <v>Card</v>
      </c>
      <c r="R100" s="2" t="str">
        <f>Raw_Data!N100</f>
        <v>Yes</v>
      </c>
    </row>
    <row r="101" spans="1:18" x14ac:dyDescent="0.25">
      <c r="A101" s="7" t="str">
        <f>Raw_Data!A101</f>
        <v>ORD-0100</v>
      </c>
      <c r="B101" s="8">
        <f>Raw_Data!B101</f>
        <v>45547</v>
      </c>
      <c r="C101" s="7" t="str">
        <f>TEXT(Raw_Data!B101,"MMM")</f>
        <v>Sep</v>
      </c>
      <c r="D101" s="7">
        <f>YEAR(Raw_Data!B101)</f>
        <v>2024</v>
      </c>
      <c r="E101" s="9" t="str">
        <f>Raw_Data!C101</f>
        <v>Sanjay Nair</v>
      </c>
      <c r="F101" s="7" t="str">
        <f>Raw_Data!D101</f>
        <v>Mumbai</v>
      </c>
      <c r="G101" s="9" t="str">
        <f>Raw_Data!E101</f>
        <v>Candid Cream</v>
      </c>
      <c r="H101" s="7" t="str">
        <f>Raw_Data!F101</f>
        <v>Cream</v>
      </c>
      <c r="I101" s="7">
        <f>Raw_Data!G101</f>
        <v>7</v>
      </c>
      <c r="J101" s="10">
        <f>Raw_Data!H101</f>
        <v>65</v>
      </c>
      <c r="K101" s="10">
        <f>Raw_Data!I101</f>
        <v>30.55</v>
      </c>
      <c r="L101" s="10">
        <f>Raw_Data!J101</f>
        <v>455</v>
      </c>
      <c r="M101" s="11">
        <f>Raw_Data!K101</f>
        <v>5</v>
      </c>
      <c r="N101" s="10">
        <f>Raw_Data!L101</f>
        <v>432.25</v>
      </c>
      <c r="O101" s="10">
        <f t="shared" si="2"/>
        <v>241.15</v>
      </c>
      <c r="P101" s="14">
        <f t="shared" si="3"/>
        <v>0.53</v>
      </c>
      <c r="Q101" s="7" t="str">
        <f>Raw_Data!M101</f>
        <v>UPI</v>
      </c>
      <c r="R101" s="7" t="str">
        <f>Raw_Data!N101</f>
        <v>No</v>
      </c>
    </row>
    <row r="102" spans="1:18" x14ac:dyDescent="0.25">
      <c r="A102" s="2" t="str">
        <f>Raw_Data!A102</f>
        <v>ORD-0101</v>
      </c>
      <c r="B102" s="3">
        <f>Raw_Data!B102</f>
        <v>45649</v>
      </c>
      <c r="C102" s="2" t="str">
        <f>TEXT(Raw_Data!B102,"MMM")</f>
        <v>Dec</v>
      </c>
      <c r="D102" s="2">
        <f>YEAR(Raw_Data!B102)</f>
        <v>2024</v>
      </c>
      <c r="E102" s="4" t="str">
        <f>Raw_Data!C102</f>
        <v>Rahul Verma</v>
      </c>
      <c r="F102" s="2" t="str">
        <f>Raw_Data!D102</f>
        <v>Mumbai</v>
      </c>
      <c r="G102" s="4" t="str">
        <f>Raw_Data!E102</f>
        <v>Omeprazole 20mg</v>
      </c>
      <c r="H102" s="2" t="str">
        <f>Raw_Data!F102</f>
        <v>Capsule</v>
      </c>
      <c r="I102" s="2">
        <f>Raw_Data!G102</f>
        <v>20</v>
      </c>
      <c r="J102" s="5">
        <f>Raw_Data!H102</f>
        <v>40</v>
      </c>
      <c r="K102" s="5">
        <f>Raw_Data!I102</f>
        <v>20</v>
      </c>
      <c r="L102" s="5">
        <f>Raw_Data!J102</f>
        <v>800</v>
      </c>
      <c r="M102" s="6">
        <f>Raw_Data!K102</f>
        <v>5</v>
      </c>
      <c r="N102" s="5">
        <f>Raw_Data!L102</f>
        <v>760</v>
      </c>
      <c r="O102" s="5">
        <f t="shared" si="2"/>
        <v>400</v>
      </c>
      <c r="P102" s="13">
        <f t="shared" si="3"/>
        <v>0.5</v>
      </c>
      <c r="Q102" s="2" t="str">
        <f>Raw_Data!M102</f>
        <v>Card</v>
      </c>
      <c r="R102" s="2" t="str">
        <f>Raw_Data!N102</f>
        <v>No</v>
      </c>
    </row>
    <row r="103" spans="1:18" x14ac:dyDescent="0.25">
      <c r="A103" s="7" t="str">
        <f>Raw_Data!A103</f>
        <v>ORD-0102</v>
      </c>
      <c r="B103" s="8">
        <f>Raw_Data!B103</f>
        <v>45500</v>
      </c>
      <c r="C103" s="7" t="str">
        <f>TEXT(Raw_Data!B103,"MMM")</f>
        <v>Jul</v>
      </c>
      <c r="D103" s="7">
        <f>YEAR(Raw_Data!B103)</f>
        <v>2024</v>
      </c>
      <c r="E103" s="9" t="str">
        <f>Raw_Data!C103</f>
        <v>Kavita Verma</v>
      </c>
      <c r="F103" s="7" t="str">
        <f>Raw_Data!D103</f>
        <v>Delhi</v>
      </c>
      <c r="G103" s="9" t="str">
        <f>Raw_Data!E103</f>
        <v>Atorvastatin 10mg</v>
      </c>
      <c r="H103" s="7" t="str">
        <f>Raw_Data!F103</f>
        <v>Tablet</v>
      </c>
      <c r="I103" s="7">
        <f>Raw_Data!G103</f>
        <v>15</v>
      </c>
      <c r="J103" s="10">
        <f>Raw_Data!H103</f>
        <v>120</v>
      </c>
      <c r="K103" s="10">
        <f>Raw_Data!I103</f>
        <v>62.4</v>
      </c>
      <c r="L103" s="10">
        <f>Raw_Data!J103</f>
        <v>1800</v>
      </c>
      <c r="M103" s="11">
        <f>Raw_Data!K103</f>
        <v>0</v>
      </c>
      <c r="N103" s="10">
        <f>Raw_Data!L103</f>
        <v>1800</v>
      </c>
      <c r="O103" s="10">
        <f t="shared" si="2"/>
        <v>864</v>
      </c>
      <c r="P103" s="14">
        <f t="shared" si="3"/>
        <v>0.48</v>
      </c>
      <c r="Q103" s="7" t="str">
        <f>Raw_Data!M103</f>
        <v>Cash</v>
      </c>
      <c r="R103" s="7" t="str">
        <f>Raw_Data!N103</f>
        <v>Yes</v>
      </c>
    </row>
    <row r="104" spans="1:18" x14ac:dyDescent="0.25">
      <c r="A104" s="2" t="str">
        <f>Raw_Data!A104</f>
        <v>ORD-0103</v>
      </c>
      <c r="B104" s="3">
        <f>Raw_Data!B104</f>
        <v>45653</v>
      </c>
      <c r="C104" s="2" t="str">
        <f>TEXT(Raw_Data!B104,"MMM")</f>
        <v>Dec</v>
      </c>
      <c r="D104" s="2">
        <f>YEAR(Raw_Data!B104)</f>
        <v>2024</v>
      </c>
      <c r="E104" s="4" t="str">
        <f>Raw_Data!C104</f>
        <v>Rohit Nair</v>
      </c>
      <c r="F104" s="2" t="str">
        <f>Raw_Data!D104</f>
        <v>Ahmedabad</v>
      </c>
      <c r="G104" s="4" t="str">
        <f>Raw_Data!E104</f>
        <v>Vitamin B12 Inj</v>
      </c>
      <c r="H104" s="2" t="str">
        <f>Raw_Data!F104</f>
        <v>Injection</v>
      </c>
      <c r="I104" s="2">
        <f>Raw_Data!G104</f>
        <v>16</v>
      </c>
      <c r="J104" s="5">
        <f>Raw_Data!H104</f>
        <v>60</v>
      </c>
      <c r="K104" s="5">
        <f>Raw_Data!I104</f>
        <v>36</v>
      </c>
      <c r="L104" s="5">
        <f>Raw_Data!J104</f>
        <v>960</v>
      </c>
      <c r="M104" s="6">
        <f>Raw_Data!K104</f>
        <v>5</v>
      </c>
      <c r="N104" s="5">
        <f>Raw_Data!L104</f>
        <v>912</v>
      </c>
      <c r="O104" s="5">
        <f t="shared" si="2"/>
        <v>384</v>
      </c>
      <c r="P104" s="13">
        <f t="shared" si="3"/>
        <v>0.4</v>
      </c>
      <c r="Q104" s="2" t="str">
        <f>Raw_Data!M104</f>
        <v>Cash</v>
      </c>
      <c r="R104" s="2" t="str">
        <f>Raw_Data!N104</f>
        <v>Yes</v>
      </c>
    </row>
    <row r="105" spans="1:18" x14ac:dyDescent="0.25">
      <c r="A105" s="7" t="str">
        <f>Raw_Data!A105</f>
        <v>ORD-0104</v>
      </c>
      <c r="B105" s="8">
        <f>Raw_Data!B105</f>
        <v>45598</v>
      </c>
      <c r="C105" s="7" t="str">
        <f>TEXT(Raw_Data!B105,"MMM")</f>
        <v>Nov</v>
      </c>
      <c r="D105" s="7">
        <f>YEAR(Raw_Data!B105)</f>
        <v>2024</v>
      </c>
      <c r="E105" s="9" t="str">
        <f>Raw_Data!C105</f>
        <v>Arjun Nair</v>
      </c>
      <c r="F105" s="7" t="str">
        <f>Raw_Data!D105</f>
        <v>Bangalore</v>
      </c>
      <c r="G105" s="9" t="str">
        <f>Raw_Data!E105</f>
        <v>Refresh Tears</v>
      </c>
      <c r="H105" s="7" t="str">
        <f>Raw_Data!F105</f>
        <v>Drops</v>
      </c>
      <c r="I105" s="7">
        <f>Raw_Data!G105</f>
        <v>3</v>
      </c>
      <c r="J105" s="10">
        <f>Raw_Data!H105</f>
        <v>110</v>
      </c>
      <c r="K105" s="10">
        <f>Raw_Data!I105</f>
        <v>49.5</v>
      </c>
      <c r="L105" s="10">
        <f>Raw_Data!J105</f>
        <v>330</v>
      </c>
      <c r="M105" s="11">
        <f>Raw_Data!K105</f>
        <v>5</v>
      </c>
      <c r="N105" s="10">
        <f>Raw_Data!L105</f>
        <v>313.5</v>
      </c>
      <c r="O105" s="10">
        <f t="shared" si="2"/>
        <v>181.5</v>
      </c>
      <c r="P105" s="14">
        <f t="shared" si="3"/>
        <v>0.55000000000000004</v>
      </c>
      <c r="Q105" s="7" t="str">
        <f>Raw_Data!M105</f>
        <v>UPI</v>
      </c>
      <c r="R105" s="7" t="str">
        <f>Raw_Data!N105</f>
        <v>No</v>
      </c>
    </row>
    <row r="106" spans="1:18" x14ac:dyDescent="0.25">
      <c r="A106" s="2" t="str">
        <f>Raw_Data!A106</f>
        <v>ORD-0105</v>
      </c>
      <c r="B106" s="3">
        <f>Raw_Data!B106</f>
        <v>45551</v>
      </c>
      <c r="C106" s="2" t="str">
        <f>TEXT(Raw_Data!B106,"MMM")</f>
        <v>Sep</v>
      </c>
      <c r="D106" s="2">
        <f>YEAR(Raw_Data!B106)</f>
        <v>2024</v>
      </c>
      <c r="E106" s="4" t="str">
        <f>Raw_Data!C106</f>
        <v>Rekha Joshi</v>
      </c>
      <c r="F106" s="2" t="str">
        <f>Raw_Data!D106</f>
        <v>Chennai</v>
      </c>
      <c r="G106" s="4" t="str">
        <f>Raw_Data!E106</f>
        <v>Insulin Glargine</v>
      </c>
      <c r="H106" s="2" t="str">
        <f>Raw_Data!F106</f>
        <v>Injection</v>
      </c>
      <c r="I106" s="2">
        <f>Raw_Data!G106</f>
        <v>10</v>
      </c>
      <c r="J106" s="5">
        <f>Raw_Data!H106</f>
        <v>850</v>
      </c>
      <c r="K106" s="5">
        <f>Raw_Data!I106</f>
        <v>510</v>
      </c>
      <c r="L106" s="5">
        <f>Raw_Data!J106</f>
        <v>8500</v>
      </c>
      <c r="M106" s="6">
        <f>Raw_Data!K106</f>
        <v>15</v>
      </c>
      <c r="N106" s="5">
        <f>Raw_Data!L106</f>
        <v>7225</v>
      </c>
      <c r="O106" s="5">
        <f t="shared" si="2"/>
        <v>3400</v>
      </c>
      <c r="P106" s="13">
        <f t="shared" si="3"/>
        <v>0.4</v>
      </c>
      <c r="Q106" s="2" t="str">
        <f>Raw_Data!M106</f>
        <v>Card</v>
      </c>
      <c r="R106" s="2" t="str">
        <f>Raw_Data!N106</f>
        <v>Yes</v>
      </c>
    </row>
    <row r="107" spans="1:18" x14ac:dyDescent="0.25">
      <c r="A107" s="7" t="str">
        <f>Raw_Data!A107</f>
        <v>ORD-0106</v>
      </c>
      <c r="B107" s="8">
        <f>Raw_Data!B107</f>
        <v>45462</v>
      </c>
      <c r="C107" s="7" t="str">
        <f>TEXT(Raw_Data!B107,"MMM")</f>
        <v>Jun</v>
      </c>
      <c r="D107" s="7">
        <f>YEAR(Raw_Data!B107)</f>
        <v>2024</v>
      </c>
      <c r="E107" s="9" t="str">
        <f>Raw_Data!C107</f>
        <v>Deepa Rao</v>
      </c>
      <c r="F107" s="7" t="str">
        <f>Raw_Data!D107</f>
        <v>Kolkata</v>
      </c>
      <c r="G107" s="9" t="str">
        <f>Raw_Data!E107</f>
        <v>Refresh Tears</v>
      </c>
      <c r="H107" s="7" t="str">
        <f>Raw_Data!F107</f>
        <v>Drops</v>
      </c>
      <c r="I107" s="7">
        <f>Raw_Data!G107</f>
        <v>15</v>
      </c>
      <c r="J107" s="10">
        <f>Raw_Data!H107</f>
        <v>110</v>
      </c>
      <c r="K107" s="10">
        <f>Raw_Data!I107</f>
        <v>49.5</v>
      </c>
      <c r="L107" s="10">
        <f>Raw_Data!J107</f>
        <v>1650</v>
      </c>
      <c r="M107" s="11">
        <f>Raw_Data!K107</f>
        <v>10</v>
      </c>
      <c r="N107" s="10">
        <f>Raw_Data!L107</f>
        <v>1485</v>
      </c>
      <c r="O107" s="10">
        <f t="shared" si="2"/>
        <v>907.5</v>
      </c>
      <c r="P107" s="14">
        <f t="shared" si="3"/>
        <v>0.55000000000000004</v>
      </c>
      <c r="Q107" s="7" t="str">
        <f>Raw_Data!M107</f>
        <v>UPI</v>
      </c>
      <c r="R107" s="7" t="str">
        <f>Raw_Data!N107</f>
        <v>No</v>
      </c>
    </row>
    <row r="108" spans="1:18" x14ac:dyDescent="0.25">
      <c r="A108" s="2" t="str">
        <f>Raw_Data!A108</f>
        <v>ORD-0107</v>
      </c>
      <c r="B108" s="3">
        <f>Raw_Data!B108</f>
        <v>45488</v>
      </c>
      <c r="C108" s="2" t="str">
        <f>TEXT(Raw_Data!B108,"MMM")</f>
        <v>Jul</v>
      </c>
      <c r="D108" s="2">
        <f>YEAR(Raw_Data!B108)</f>
        <v>2024</v>
      </c>
      <c r="E108" s="4" t="str">
        <f>Raw_Data!C108</f>
        <v>Nikhil Agarwal</v>
      </c>
      <c r="F108" s="2" t="str">
        <f>Raw_Data!D108</f>
        <v>Mumbai</v>
      </c>
      <c r="G108" s="4" t="str">
        <f>Raw_Data!E108</f>
        <v>Cetirizine Syrup</v>
      </c>
      <c r="H108" s="2" t="str">
        <f>Raw_Data!F108</f>
        <v>Syrup</v>
      </c>
      <c r="I108" s="2">
        <f>Raw_Data!G108</f>
        <v>11</v>
      </c>
      <c r="J108" s="5">
        <f>Raw_Data!H108</f>
        <v>55</v>
      </c>
      <c r="K108" s="5">
        <f>Raw_Data!I108</f>
        <v>26.4</v>
      </c>
      <c r="L108" s="5">
        <f>Raw_Data!J108</f>
        <v>605</v>
      </c>
      <c r="M108" s="6">
        <f>Raw_Data!K108</f>
        <v>15</v>
      </c>
      <c r="N108" s="5">
        <f>Raw_Data!L108</f>
        <v>514.25</v>
      </c>
      <c r="O108" s="5">
        <f t="shared" si="2"/>
        <v>314.60000000000002</v>
      </c>
      <c r="P108" s="13">
        <f t="shared" si="3"/>
        <v>0.52</v>
      </c>
      <c r="Q108" s="2" t="str">
        <f>Raw_Data!M108</f>
        <v>UPI</v>
      </c>
      <c r="R108" s="2" t="str">
        <f>Raw_Data!N108</f>
        <v>No</v>
      </c>
    </row>
    <row r="109" spans="1:18" x14ac:dyDescent="0.25">
      <c r="A109" s="7" t="str">
        <f>Raw_Data!A109</f>
        <v>ORD-0108</v>
      </c>
      <c r="B109" s="8">
        <f>Raw_Data!B109</f>
        <v>45625</v>
      </c>
      <c r="C109" s="7" t="str">
        <f>TEXT(Raw_Data!B109,"MMM")</f>
        <v>Nov</v>
      </c>
      <c r="D109" s="7">
        <f>YEAR(Raw_Data!B109)</f>
        <v>2024</v>
      </c>
      <c r="E109" s="9" t="str">
        <f>Raw_Data!C109</f>
        <v>Sunita Mishra</v>
      </c>
      <c r="F109" s="7" t="str">
        <f>Raw_Data!D109</f>
        <v>Mumbai</v>
      </c>
      <c r="G109" s="9" t="str">
        <f>Raw_Data!E109</f>
        <v>Cetirizine Syrup</v>
      </c>
      <c r="H109" s="7" t="str">
        <f>Raw_Data!F109</f>
        <v>Syrup</v>
      </c>
      <c r="I109" s="7">
        <f>Raw_Data!G109</f>
        <v>5</v>
      </c>
      <c r="J109" s="10">
        <f>Raw_Data!H109</f>
        <v>55</v>
      </c>
      <c r="K109" s="10">
        <f>Raw_Data!I109</f>
        <v>26.4</v>
      </c>
      <c r="L109" s="10">
        <f>Raw_Data!J109</f>
        <v>275</v>
      </c>
      <c r="M109" s="11">
        <f>Raw_Data!K109</f>
        <v>20</v>
      </c>
      <c r="N109" s="10">
        <f>Raw_Data!L109</f>
        <v>220</v>
      </c>
      <c r="O109" s="10">
        <f t="shared" si="2"/>
        <v>143</v>
      </c>
      <c r="P109" s="14">
        <f t="shared" si="3"/>
        <v>0.52</v>
      </c>
      <c r="Q109" s="7" t="str">
        <f>Raw_Data!M109</f>
        <v>Card</v>
      </c>
      <c r="R109" s="7" t="str">
        <f>Raw_Data!N109</f>
        <v>No</v>
      </c>
    </row>
    <row r="110" spans="1:18" x14ac:dyDescent="0.25">
      <c r="A110" s="2" t="str">
        <f>Raw_Data!A110</f>
        <v>ORD-0109</v>
      </c>
      <c r="B110" s="3">
        <f>Raw_Data!B110</f>
        <v>45517</v>
      </c>
      <c r="C110" s="2" t="str">
        <f>TEXT(Raw_Data!B110,"MMM")</f>
        <v>Aug</v>
      </c>
      <c r="D110" s="2">
        <f>YEAR(Raw_Data!B110)</f>
        <v>2024</v>
      </c>
      <c r="E110" s="4" t="str">
        <f>Raw_Data!C110</f>
        <v>Vikram Patel</v>
      </c>
      <c r="F110" s="2" t="str">
        <f>Raw_Data!D110</f>
        <v>Ahmedabad</v>
      </c>
      <c r="G110" s="4" t="str">
        <f>Raw_Data!E110</f>
        <v>Azithromycin 500mg</v>
      </c>
      <c r="H110" s="2" t="str">
        <f>Raw_Data!F110</f>
        <v>Tablet</v>
      </c>
      <c r="I110" s="2">
        <f>Raw_Data!G110</f>
        <v>1</v>
      </c>
      <c r="J110" s="5">
        <f>Raw_Data!H110</f>
        <v>150</v>
      </c>
      <c r="K110" s="5">
        <f>Raw_Data!I110</f>
        <v>78</v>
      </c>
      <c r="L110" s="5">
        <f>Raw_Data!J110</f>
        <v>150</v>
      </c>
      <c r="M110" s="6">
        <f>Raw_Data!K110</f>
        <v>0</v>
      </c>
      <c r="N110" s="5">
        <f>Raw_Data!L110</f>
        <v>150</v>
      </c>
      <c r="O110" s="5">
        <f t="shared" si="2"/>
        <v>72</v>
      </c>
      <c r="P110" s="13">
        <f t="shared" si="3"/>
        <v>0.48</v>
      </c>
      <c r="Q110" s="2" t="str">
        <f>Raw_Data!M110</f>
        <v>UPI</v>
      </c>
      <c r="R110" s="2" t="str">
        <f>Raw_Data!N110</f>
        <v>Yes</v>
      </c>
    </row>
    <row r="111" spans="1:18" x14ac:dyDescent="0.25">
      <c r="A111" s="7" t="str">
        <f>Raw_Data!A111</f>
        <v>ORD-0110</v>
      </c>
      <c r="B111" s="8">
        <f>Raw_Data!B111</f>
        <v>45532</v>
      </c>
      <c r="C111" s="7" t="str">
        <f>TEXT(Raw_Data!B111,"MMM")</f>
        <v>Aug</v>
      </c>
      <c r="D111" s="7">
        <f>YEAR(Raw_Data!B111)</f>
        <v>2024</v>
      </c>
      <c r="E111" s="9" t="str">
        <f>Raw_Data!C111</f>
        <v>Swati Mehta</v>
      </c>
      <c r="F111" s="7" t="str">
        <f>Raw_Data!D111</f>
        <v>Pune</v>
      </c>
      <c r="G111" s="9" t="str">
        <f>Raw_Data!E111</f>
        <v>Protein Supplement</v>
      </c>
      <c r="H111" s="7" t="str">
        <f>Raw_Data!F111</f>
        <v>Powder</v>
      </c>
      <c r="I111" s="7">
        <f>Raw_Data!G111</f>
        <v>20</v>
      </c>
      <c r="J111" s="10">
        <f>Raw_Data!H111</f>
        <v>450</v>
      </c>
      <c r="K111" s="10">
        <f>Raw_Data!I111</f>
        <v>247.5</v>
      </c>
      <c r="L111" s="10">
        <f>Raw_Data!J111</f>
        <v>9000</v>
      </c>
      <c r="M111" s="11">
        <f>Raw_Data!K111</f>
        <v>10</v>
      </c>
      <c r="N111" s="10">
        <f>Raw_Data!L111</f>
        <v>8100</v>
      </c>
      <c r="O111" s="10">
        <f t="shared" si="2"/>
        <v>4050</v>
      </c>
      <c r="P111" s="14">
        <f t="shared" si="3"/>
        <v>0.45</v>
      </c>
      <c r="Q111" s="7" t="str">
        <f>Raw_Data!M111</f>
        <v>UPI</v>
      </c>
      <c r="R111" s="7" t="str">
        <f>Raw_Data!N111</f>
        <v>No</v>
      </c>
    </row>
    <row r="112" spans="1:18" x14ac:dyDescent="0.25">
      <c r="A112" s="2" t="str">
        <f>Raw_Data!A112</f>
        <v>ORD-0111</v>
      </c>
      <c r="B112" s="3">
        <f>Raw_Data!B112</f>
        <v>45454</v>
      </c>
      <c r="C112" s="2" t="str">
        <f>TEXT(Raw_Data!B112,"MMM")</f>
        <v>Jun</v>
      </c>
      <c r="D112" s="2">
        <f>YEAR(Raw_Data!B112)</f>
        <v>2024</v>
      </c>
      <c r="E112" s="4" t="str">
        <f>Raw_Data!C112</f>
        <v>Kavita Singh</v>
      </c>
      <c r="F112" s="2" t="str">
        <f>Raw_Data!D112</f>
        <v>Ahmedabad</v>
      </c>
      <c r="G112" s="4" t="str">
        <f>Raw_Data!E112</f>
        <v>Soframycin Cream</v>
      </c>
      <c r="H112" s="2" t="str">
        <f>Raw_Data!F112</f>
        <v>Cream</v>
      </c>
      <c r="I112" s="2">
        <f>Raw_Data!G112</f>
        <v>18</v>
      </c>
      <c r="J112" s="5">
        <f>Raw_Data!H112</f>
        <v>72</v>
      </c>
      <c r="K112" s="5">
        <f>Raw_Data!I112</f>
        <v>33.840000000000003</v>
      </c>
      <c r="L112" s="5">
        <f>Raw_Data!J112</f>
        <v>1296</v>
      </c>
      <c r="M112" s="6">
        <f>Raw_Data!K112</f>
        <v>0</v>
      </c>
      <c r="N112" s="5">
        <f>Raw_Data!L112</f>
        <v>1296</v>
      </c>
      <c r="O112" s="5">
        <f t="shared" si="2"/>
        <v>686.87999999999988</v>
      </c>
      <c r="P112" s="13">
        <f t="shared" si="3"/>
        <v>0.52999999999999992</v>
      </c>
      <c r="Q112" s="2" t="str">
        <f>Raw_Data!M112</f>
        <v>Cash</v>
      </c>
      <c r="R112" s="2" t="str">
        <f>Raw_Data!N112</f>
        <v>No</v>
      </c>
    </row>
    <row r="113" spans="1:18" x14ac:dyDescent="0.25">
      <c r="A113" s="7" t="str">
        <f>Raw_Data!A113</f>
        <v>ORD-0112</v>
      </c>
      <c r="B113" s="8">
        <f>Raw_Data!B113</f>
        <v>45338</v>
      </c>
      <c r="C113" s="7" t="str">
        <f>TEXT(Raw_Data!B113,"MMM")</f>
        <v>Feb</v>
      </c>
      <c r="D113" s="7">
        <f>YEAR(Raw_Data!B113)</f>
        <v>2024</v>
      </c>
      <c r="E113" s="9" t="str">
        <f>Raw_Data!C113</f>
        <v>Priya Joshi</v>
      </c>
      <c r="F113" s="7" t="str">
        <f>Raw_Data!D113</f>
        <v>Delhi</v>
      </c>
      <c r="G113" s="9" t="str">
        <f>Raw_Data!E113</f>
        <v>Omeprazole 20mg</v>
      </c>
      <c r="H113" s="7" t="str">
        <f>Raw_Data!F113</f>
        <v>Capsule</v>
      </c>
      <c r="I113" s="7">
        <f>Raw_Data!G113</f>
        <v>15</v>
      </c>
      <c r="J113" s="10">
        <f>Raw_Data!H113</f>
        <v>40</v>
      </c>
      <c r="K113" s="10">
        <f>Raw_Data!I113</f>
        <v>20</v>
      </c>
      <c r="L113" s="10">
        <f>Raw_Data!J113</f>
        <v>600</v>
      </c>
      <c r="M113" s="11">
        <f>Raw_Data!K113</f>
        <v>0</v>
      </c>
      <c r="N113" s="10">
        <f>Raw_Data!L113</f>
        <v>600</v>
      </c>
      <c r="O113" s="10">
        <f t="shared" si="2"/>
        <v>300</v>
      </c>
      <c r="P113" s="14">
        <f t="shared" si="3"/>
        <v>0.5</v>
      </c>
      <c r="Q113" s="7" t="str">
        <f>Raw_Data!M113</f>
        <v>UPI</v>
      </c>
      <c r="R113" s="7" t="str">
        <f>Raw_Data!N113</f>
        <v>No</v>
      </c>
    </row>
    <row r="114" spans="1:18" x14ac:dyDescent="0.25">
      <c r="A114" s="2" t="str">
        <f>Raw_Data!A114</f>
        <v>ORD-0113</v>
      </c>
      <c r="B114" s="3">
        <f>Raw_Data!B114</f>
        <v>45320</v>
      </c>
      <c r="C114" s="2" t="str">
        <f>TEXT(Raw_Data!B114,"MMM")</f>
        <v>Jan</v>
      </c>
      <c r="D114" s="2">
        <f>YEAR(Raw_Data!B114)</f>
        <v>2024</v>
      </c>
      <c r="E114" s="4" t="str">
        <f>Raw_Data!C114</f>
        <v>Anjali Gupta</v>
      </c>
      <c r="F114" s="2" t="str">
        <f>Raw_Data!D114</f>
        <v>Pune</v>
      </c>
      <c r="G114" s="4" t="str">
        <f>Raw_Data!E114</f>
        <v>Dexamethasone Inj</v>
      </c>
      <c r="H114" s="2" t="str">
        <f>Raw_Data!F114</f>
        <v>Injection</v>
      </c>
      <c r="I114" s="2">
        <f>Raw_Data!G114</f>
        <v>14</v>
      </c>
      <c r="J114" s="5">
        <f>Raw_Data!H114</f>
        <v>95</v>
      </c>
      <c r="K114" s="5">
        <f>Raw_Data!I114</f>
        <v>57</v>
      </c>
      <c r="L114" s="5">
        <f>Raw_Data!J114</f>
        <v>1330</v>
      </c>
      <c r="M114" s="6">
        <f>Raw_Data!K114</f>
        <v>0</v>
      </c>
      <c r="N114" s="5">
        <f>Raw_Data!L114</f>
        <v>1330</v>
      </c>
      <c r="O114" s="5">
        <f t="shared" si="2"/>
        <v>532</v>
      </c>
      <c r="P114" s="13">
        <f t="shared" si="3"/>
        <v>0.4</v>
      </c>
      <c r="Q114" s="2" t="str">
        <f>Raw_Data!M114</f>
        <v>Card</v>
      </c>
      <c r="R114" s="2" t="str">
        <f>Raw_Data!N114</f>
        <v>Yes</v>
      </c>
    </row>
    <row r="115" spans="1:18" x14ac:dyDescent="0.25">
      <c r="A115" s="7" t="str">
        <f>Raw_Data!A115</f>
        <v>ORD-0114</v>
      </c>
      <c r="B115" s="8">
        <f>Raw_Data!B115</f>
        <v>45381</v>
      </c>
      <c r="C115" s="7" t="str">
        <f>TEXT(Raw_Data!B115,"MMM")</f>
        <v>Mar</v>
      </c>
      <c r="D115" s="7">
        <f>YEAR(Raw_Data!B115)</f>
        <v>2024</v>
      </c>
      <c r="E115" s="9" t="str">
        <f>Raw_Data!C115</f>
        <v>Deepa Shah</v>
      </c>
      <c r="F115" s="7" t="str">
        <f>Raw_Data!D115</f>
        <v>Kolkata</v>
      </c>
      <c r="G115" s="9" t="str">
        <f>Raw_Data!E115</f>
        <v>Losartan 50mg</v>
      </c>
      <c r="H115" s="7" t="str">
        <f>Raw_Data!F115</f>
        <v>Tablet</v>
      </c>
      <c r="I115" s="7">
        <f>Raw_Data!G115</f>
        <v>20</v>
      </c>
      <c r="J115" s="10">
        <f>Raw_Data!H115</f>
        <v>95</v>
      </c>
      <c r="K115" s="10">
        <f>Raw_Data!I115</f>
        <v>49.4</v>
      </c>
      <c r="L115" s="10">
        <f>Raw_Data!J115</f>
        <v>1900</v>
      </c>
      <c r="M115" s="11">
        <f>Raw_Data!K115</f>
        <v>5</v>
      </c>
      <c r="N115" s="10">
        <f>Raw_Data!L115</f>
        <v>1805</v>
      </c>
      <c r="O115" s="10">
        <f t="shared" si="2"/>
        <v>912</v>
      </c>
      <c r="P115" s="14">
        <f t="shared" si="3"/>
        <v>0.48</v>
      </c>
      <c r="Q115" s="7" t="str">
        <f>Raw_Data!M115</f>
        <v>Card</v>
      </c>
      <c r="R115" s="7" t="str">
        <f>Raw_Data!N115</f>
        <v>Yes</v>
      </c>
    </row>
    <row r="116" spans="1:18" x14ac:dyDescent="0.25">
      <c r="A116" s="2" t="str">
        <f>Raw_Data!A116</f>
        <v>ORD-0115</v>
      </c>
      <c r="B116" s="3">
        <f>Raw_Data!B116</f>
        <v>45618</v>
      </c>
      <c r="C116" s="2" t="str">
        <f>TEXT(Raw_Data!B116,"MMM")</f>
        <v>Nov</v>
      </c>
      <c r="D116" s="2">
        <f>YEAR(Raw_Data!B116)</f>
        <v>2024</v>
      </c>
      <c r="E116" s="4" t="str">
        <f>Raw_Data!C116</f>
        <v>Anjali Patel</v>
      </c>
      <c r="F116" s="2" t="str">
        <f>Raw_Data!D116</f>
        <v>Chennai</v>
      </c>
      <c r="G116" s="4" t="str">
        <f>Raw_Data!E116</f>
        <v>Vitamin B12 Inj</v>
      </c>
      <c r="H116" s="2" t="str">
        <f>Raw_Data!F116</f>
        <v>Injection</v>
      </c>
      <c r="I116" s="2">
        <f>Raw_Data!G116</f>
        <v>1</v>
      </c>
      <c r="J116" s="5">
        <f>Raw_Data!H116</f>
        <v>60</v>
      </c>
      <c r="K116" s="5">
        <f>Raw_Data!I116</f>
        <v>36</v>
      </c>
      <c r="L116" s="5">
        <f>Raw_Data!J116</f>
        <v>60</v>
      </c>
      <c r="M116" s="6">
        <f>Raw_Data!K116</f>
        <v>15</v>
      </c>
      <c r="N116" s="5">
        <f>Raw_Data!L116</f>
        <v>51</v>
      </c>
      <c r="O116" s="5">
        <f t="shared" si="2"/>
        <v>24</v>
      </c>
      <c r="P116" s="13">
        <f t="shared" si="3"/>
        <v>0.4</v>
      </c>
      <c r="Q116" s="2" t="str">
        <f>Raw_Data!M116</f>
        <v>UPI</v>
      </c>
      <c r="R116" s="2" t="str">
        <f>Raw_Data!N116</f>
        <v>No</v>
      </c>
    </row>
    <row r="117" spans="1:18" x14ac:dyDescent="0.25">
      <c r="A117" s="7" t="str">
        <f>Raw_Data!A117</f>
        <v>ORD-0116</v>
      </c>
      <c r="B117" s="8">
        <f>Raw_Data!B117</f>
        <v>45518</v>
      </c>
      <c r="C117" s="7" t="str">
        <f>TEXT(Raw_Data!B117,"MMM")</f>
        <v>Aug</v>
      </c>
      <c r="D117" s="7">
        <f>YEAR(Raw_Data!B117)</f>
        <v>2024</v>
      </c>
      <c r="E117" s="9" t="str">
        <f>Raw_Data!C117</f>
        <v>Nikhil Mishra</v>
      </c>
      <c r="F117" s="7" t="str">
        <f>Raw_Data!D117</f>
        <v>Kolkata</v>
      </c>
      <c r="G117" s="9" t="str">
        <f>Raw_Data!E117</f>
        <v>Dexamethasone Inj</v>
      </c>
      <c r="H117" s="7" t="str">
        <f>Raw_Data!F117</f>
        <v>Injection</v>
      </c>
      <c r="I117" s="7">
        <f>Raw_Data!G117</f>
        <v>9</v>
      </c>
      <c r="J117" s="10">
        <f>Raw_Data!H117</f>
        <v>95</v>
      </c>
      <c r="K117" s="10">
        <f>Raw_Data!I117</f>
        <v>57</v>
      </c>
      <c r="L117" s="10">
        <f>Raw_Data!J117</f>
        <v>855</v>
      </c>
      <c r="M117" s="11">
        <f>Raw_Data!K117</f>
        <v>15</v>
      </c>
      <c r="N117" s="10">
        <f>Raw_Data!L117</f>
        <v>726.75</v>
      </c>
      <c r="O117" s="10">
        <f t="shared" si="2"/>
        <v>342</v>
      </c>
      <c r="P117" s="14">
        <f t="shared" si="3"/>
        <v>0.4</v>
      </c>
      <c r="Q117" s="7" t="str">
        <f>Raw_Data!M117</f>
        <v>Cash</v>
      </c>
      <c r="R117" s="7" t="str">
        <f>Raw_Data!N117</f>
        <v>Yes</v>
      </c>
    </row>
    <row r="118" spans="1:18" x14ac:dyDescent="0.25">
      <c r="A118" s="2" t="str">
        <f>Raw_Data!A118</f>
        <v>ORD-0117</v>
      </c>
      <c r="B118" s="3">
        <f>Raw_Data!B118</f>
        <v>45539</v>
      </c>
      <c r="C118" s="2" t="str">
        <f>TEXT(Raw_Data!B118,"MMM")</f>
        <v>Sep</v>
      </c>
      <c r="D118" s="2">
        <f>YEAR(Raw_Data!B118)</f>
        <v>2024</v>
      </c>
      <c r="E118" s="4" t="str">
        <f>Raw_Data!C118</f>
        <v>Kavita Sharma</v>
      </c>
      <c r="F118" s="2" t="str">
        <f>Raw_Data!D118</f>
        <v>Kolkata</v>
      </c>
      <c r="G118" s="4" t="str">
        <f>Raw_Data!E118</f>
        <v>Atorvastatin 10mg</v>
      </c>
      <c r="H118" s="2" t="str">
        <f>Raw_Data!F118</f>
        <v>Tablet</v>
      </c>
      <c r="I118" s="2">
        <f>Raw_Data!G118</f>
        <v>19</v>
      </c>
      <c r="J118" s="5">
        <f>Raw_Data!H118</f>
        <v>120</v>
      </c>
      <c r="K118" s="5">
        <f>Raw_Data!I118</f>
        <v>62.4</v>
      </c>
      <c r="L118" s="5">
        <f>Raw_Data!J118</f>
        <v>2280</v>
      </c>
      <c r="M118" s="6">
        <f>Raw_Data!K118</f>
        <v>10</v>
      </c>
      <c r="N118" s="5">
        <f>Raw_Data!L118</f>
        <v>2052</v>
      </c>
      <c r="O118" s="5">
        <f t="shared" si="2"/>
        <v>1094.4000000000001</v>
      </c>
      <c r="P118" s="13">
        <f t="shared" si="3"/>
        <v>0.48000000000000004</v>
      </c>
      <c r="Q118" s="2" t="str">
        <f>Raw_Data!M118</f>
        <v>UPI</v>
      </c>
      <c r="R118" s="2" t="str">
        <f>Raw_Data!N118</f>
        <v>Yes</v>
      </c>
    </row>
    <row r="119" spans="1:18" x14ac:dyDescent="0.25">
      <c r="A119" s="7" t="str">
        <f>Raw_Data!A119</f>
        <v>ORD-0118</v>
      </c>
      <c r="B119" s="8">
        <f>Raw_Data!B119</f>
        <v>45629</v>
      </c>
      <c r="C119" s="7" t="str">
        <f>TEXT(Raw_Data!B119,"MMM")</f>
        <v>Dec</v>
      </c>
      <c r="D119" s="7">
        <f>YEAR(Raw_Data!B119)</f>
        <v>2024</v>
      </c>
      <c r="E119" s="9" t="str">
        <f>Raw_Data!C119</f>
        <v>Kavita Dubey</v>
      </c>
      <c r="F119" s="7" t="str">
        <f>Raw_Data!D119</f>
        <v>Mumbai</v>
      </c>
      <c r="G119" s="9" t="str">
        <f>Raw_Data!E119</f>
        <v>Fluconazole 150mg</v>
      </c>
      <c r="H119" s="7" t="str">
        <f>Raw_Data!F119</f>
        <v>Capsule</v>
      </c>
      <c r="I119" s="7">
        <f>Raw_Data!G119</f>
        <v>19</v>
      </c>
      <c r="J119" s="10">
        <f>Raw_Data!H119</f>
        <v>75</v>
      </c>
      <c r="K119" s="10">
        <f>Raw_Data!I119</f>
        <v>37.5</v>
      </c>
      <c r="L119" s="10">
        <f>Raw_Data!J119</f>
        <v>1425</v>
      </c>
      <c r="M119" s="11">
        <f>Raw_Data!K119</f>
        <v>0</v>
      </c>
      <c r="N119" s="10">
        <f>Raw_Data!L119</f>
        <v>1425</v>
      </c>
      <c r="O119" s="10">
        <f t="shared" si="2"/>
        <v>712.5</v>
      </c>
      <c r="P119" s="14">
        <f t="shared" si="3"/>
        <v>0.5</v>
      </c>
      <c r="Q119" s="7" t="str">
        <f>Raw_Data!M119</f>
        <v>UPI</v>
      </c>
      <c r="R119" s="7" t="str">
        <f>Raw_Data!N119</f>
        <v>No</v>
      </c>
    </row>
    <row r="120" spans="1:18" x14ac:dyDescent="0.25">
      <c r="A120" s="2" t="str">
        <f>Raw_Data!A120</f>
        <v>ORD-0119</v>
      </c>
      <c r="B120" s="3">
        <f>Raw_Data!B120</f>
        <v>45409</v>
      </c>
      <c r="C120" s="2" t="str">
        <f>TEXT(Raw_Data!B120,"MMM")</f>
        <v>Apr</v>
      </c>
      <c r="D120" s="2">
        <f>YEAR(Raw_Data!B120)</f>
        <v>2024</v>
      </c>
      <c r="E120" s="4" t="str">
        <f>Raw_Data!C120</f>
        <v>Vikram Agarwal</v>
      </c>
      <c r="F120" s="2" t="str">
        <f>Raw_Data!D120</f>
        <v>Hyderabad</v>
      </c>
      <c r="G120" s="4" t="str">
        <f>Raw_Data!E120</f>
        <v>Cipla Eye Drops</v>
      </c>
      <c r="H120" s="2" t="str">
        <f>Raw_Data!F120</f>
        <v>Drops</v>
      </c>
      <c r="I120" s="2">
        <f>Raw_Data!G120</f>
        <v>7</v>
      </c>
      <c r="J120" s="5">
        <f>Raw_Data!H120</f>
        <v>70</v>
      </c>
      <c r="K120" s="5">
        <f>Raw_Data!I120</f>
        <v>31.5</v>
      </c>
      <c r="L120" s="5">
        <f>Raw_Data!J120</f>
        <v>490</v>
      </c>
      <c r="M120" s="6">
        <f>Raw_Data!K120</f>
        <v>5</v>
      </c>
      <c r="N120" s="5">
        <f>Raw_Data!L120</f>
        <v>465.5</v>
      </c>
      <c r="O120" s="5">
        <f t="shared" si="2"/>
        <v>269.5</v>
      </c>
      <c r="P120" s="13">
        <f t="shared" si="3"/>
        <v>0.55000000000000004</v>
      </c>
      <c r="Q120" s="2" t="str">
        <f>Raw_Data!M120</f>
        <v>UPI</v>
      </c>
      <c r="R120" s="2" t="str">
        <f>Raw_Data!N120</f>
        <v>No</v>
      </c>
    </row>
    <row r="121" spans="1:18" x14ac:dyDescent="0.25">
      <c r="A121" s="7" t="str">
        <f>Raw_Data!A121</f>
        <v>ORD-0120</v>
      </c>
      <c r="B121" s="8">
        <f>Raw_Data!B121</f>
        <v>45341</v>
      </c>
      <c r="C121" s="7" t="str">
        <f>TEXT(Raw_Data!B121,"MMM")</f>
        <v>Feb</v>
      </c>
      <c r="D121" s="7">
        <f>YEAR(Raw_Data!B121)</f>
        <v>2024</v>
      </c>
      <c r="E121" s="9" t="str">
        <f>Raw_Data!C121</f>
        <v>Vikram Patel</v>
      </c>
      <c r="F121" s="7" t="str">
        <f>Raw_Data!D121</f>
        <v>Mumbai</v>
      </c>
      <c r="G121" s="9" t="str">
        <f>Raw_Data!E121</f>
        <v>Soframycin Cream</v>
      </c>
      <c r="H121" s="7" t="str">
        <f>Raw_Data!F121</f>
        <v>Cream</v>
      </c>
      <c r="I121" s="7">
        <f>Raw_Data!G121</f>
        <v>10</v>
      </c>
      <c r="J121" s="10">
        <f>Raw_Data!H121</f>
        <v>72</v>
      </c>
      <c r="K121" s="10">
        <f>Raw_Data!I121</f>
        <v>33.840000000000003</v>
      </c>
      <c r="L121" s="10">
        <f>Raw_Data!J121</f>
        <v>720</v>
      </c>
      <c r="M121" s="11">
        <f>Raw_Data!K121</f>
        <v>15</v>
      </c>
      <c r="N121" s="10">
        <f>Raw_Data!L121</f>
        <v>612</v>
      </c>
      <c r="O121" s="10">
        <f t="shared" si="2"/>
        <v>381.59999999999997</v>
      </c>
      <c r="P121" s="14">
        <f t="shared" si="3"/>
        <v>0.52999999999999992</v>
      </c>
      <c r="Q121" s="7" t="str">
        <f>Raw_Data!M121</f>
        <v>Card</v>
      </c>
      <c r="R121" s="7" t="str">
        <f>Raw_Data!N121</f>
        <v>Yes</v>
      </c>
    </row>
    <row r="122" spans="1:18" x14ac:dyDescent="0.25">
      <c r="A122" s="2" t="str">
        <f>Raw_Data!A122</f>
        <v>ORD-0121</v>
      </c>
      <c r="B122" s="3">
        <f>Raw_Data!B122</f>
        <v>45443</v>
      </c>
      <c r="C122" s="2" t="str">
        <f>TEXT(Raw_Data!B122,"MMM")</f>
        <v>May</v>
      </c>
      <c r="D122" s="2">
        <f>YEAR(Raw_Data!B122)</f>
        <v>2024</v>
      </c>
      <c r="E122" s="4" t="str">
        <f>Raw_Data!C122</f>
        <v>Meera Verma</v>
      </c>
      <c r="F122" s="2" t="str">
        <f>Raw_Data!D122</f>
        <v>Bangalore</v>
      </c>
      <c r="G122" s="4" t="str">
        <f>Raw_Data!E122</f>
        <v>Vitamin B12 Inj</v>
      </c>
      <c r="H122" s="2" t="str">
        <f>Raw_Data!F122</f>
        <v>Injection</v>
      </c>
      <c r="I122" s="2">
        <f>Raw_Data!G122</f>
        <v>7</v>
      </c>
      <c r="J122" s="5">
        <f>Raw_Data!H122</f>
        <v>60</v>
      </c>
      <c r="K122" s="5">
        <f>Raw_Data!I122</f>
        <v>36</v>
      </c>
      <c r="L122" s="5">
        <f>Raw_Data!J122</f>
        <v>420</v>
      </c>
      <c r="M122" s="6">
        <f>Raw_Data!K122</f>
        <v>0</v>
      </c>
      <c r="N122" s="5">
        <f>Raw_Data!L122</f>
        <v>420</v>
      </c>
      <c r="O122" s="5">
        <f t="shared" si="2"/>
        <v>168</v>
      </c>
      <c r="P122" s="13">
        <f t="shared" si="3"/>
        <v>0.4</v>
      </c>
      <c r="Q122" s="2" t="str">
        <f>Raw_Data!M122</f>
        <v>UPI</v>
      </c>
      <c r="R122" s="2" t="str">
        <f>Raw_Data!N122</f>
        <v>Yes</v>
      </c>
    </row>
    <row r="123" spans="1:18" x14ac:dyDescent="0.25">
      <c r="A123" s="7" t="str">
        <f>Raw_Data!A123</f>
        <v>ORD-0122</v>
      </c>
      <c r="B123" s="8">
        <f>Raw_Data!B123</f>
        <v>45548</v>
      </c>
      <c r="C123" s="7" t="str">
        <f>TEXT(Raw_Data!B123,"MMM")</f>
        <v>Sep</v>
      </c>
      <c r="D123" s="7">
        <f>YEAR(Raw_Data!B123)</f>
        <v>2024</v>
      </c>
      <c r="E123" s="9" t="str">
        <f>Raw_Data!C123</f>
        <v>Sunita Shah</v>
      </c>
      <c r="F123" s="7" t="str">
        <f>Raw_Data!D123</f>
        <v>Chennai</v>
      </c>
      <c r="G123" s="9" t="str">
        <f>Raw_Data!E123</f>
        <v>Ondansetron Inj</v>
      </c>
      <c r="H123" s="7" t="str">
        <f>Raw_Data!F123</f>
        <v>Injection</v>
      </c>
      <c r="I123" s="7">
        <f>Raw_Data!G123</f>
        <v>16</v>
      </c>
      <c r="J123" s="10">
        <f>Raw_Data!H123</f>
        <v>120</v>
      </c>
      <c r="K123" s="10">
        <f>Raw_Data!I123</f>
        <v>72</v>
      </c>
      <c r="L123" s="10">
        <f>Raw_Data!J123</f>
        <v>1920</v>
      </c>
      <c r="M123" s="11">
        <f>Raw_Data!K123</f>
        <v>5</v>
      </c>
      <c r="N123" s="10">
        <f>Raw_Data!L123</f>
        <v>1824</v>
      </c>
      <c r="O123" s="10">
        <f t="shared" si="2"/>
        <v>768</v>
      </c>
      <c r="P123" s="14">
        <f t="shared" si="3"/>
        <v>0.4</v>
      </c>
      <c r="Q123" s="7" t="str">
        <f>Raw_Data!M123</f>
        <v>Card</v>
      </c>
      <c r="R123" s="7" t="str">
        <f>Raw_Data!N123</f>
        <v>Yes</v>
      </c>
    </row>
    <row r="124" spans="1:18" x14ac:dyDescent="0.25">
      <c r="A124" s="2" t="str">
        <f>Raw_Data!A124</f>
        <v>ORD-0123</v>
      </c>
      <c r="B124" s="3">
        <f>Raw_Data!B124</f>
        <v>45330</v>
      </c>
      <c r="C124" s="2" t="str">
        <f>TEXT(Raw_Data!B124,"MMM")</f>
        <v>Feb</v>
      </c>
      <c r="D124" s="2">
        <f>YEAR(Raw_Data!B124)</f>
        <v>2024</v>
      </c>
      <c r="E124" s="4" t="str">
        <f>Raw_Data!C124</f>
        <v>Suresh Verma</v>
      </c>
      <c r="F124" s="2" t="str">
        <f>Raw_Data!D124</f>
        <v>Kolkata</v>
      </c>
      <c r="G124" s="4" t="str">
        <f>Raw_Data!E124</f>
        <v>Ambroxol Syrup</v>
      </c>
      <c r="H124" s="2" t="str">
        <f>Raw_Data!F124</f>
        <v>Syrup</v>
      </c>
      <c r="I124" s="2">
        <f>Raw_Data!G124</f>
        <v>18</v>
      </c>
      <c r="J124" s="5">
        <f>Raw_Data!H124</f>
        <v>65</v>
      </c>
      <c r="K124" s="5">
        <f>Raw_Data!I124</f>
        <v>31.2</v>
      </c>
      <c r="L124" s="5">
        <f>Raw_Data!J124</f>
        <v>1170</v>
      </c>
      <c r="M124" s="6">
        <f>Raw_Data!K124</f>
        <v>10</v>
      </c>
      <c r="N124" s="5">
        <f>Raw_Data!L124</f>
        <v>1053</v>
      </c>
      <c r="O124" s="5">
        <f t="shared" si="2"/>
        <v>608.4</v>
      </c>
      <c r="P124" s="13">
        <f t="shared" si="3"/>
        <v>0.52</v>
      </c>
      <c r="Q124" s="2" t="str">
        <f>Raw_Data!M124</f>
        <v>Card</v>
      </c>
      <c r="R124" s="2" t="str">
        <f>Raw_Data!N124</f>
        <v>Yes</v>
      </c>
    </row>
    <row r="125" spans="1:18" x14ac:dyDescent="0.25">
      <c r="A125" s="7" t="str">
        <f>Raw_Data!A125</f>
        <v>ORD-0124</v>
      </c>
      <c r="B125" s="8">
        <f>Raw_Data!B125</f>
        <v>45355</v>
      </c>
      <c r="C125" s="7" t="str">
        <f>TEXT(Raw_Data!B125,"MMM")</f>
        <v>Mar</v>
      </c>
      <c r="D125" s="7">
        <f>YEAR(Raw_Data!B125)</f>
        <v>2024</v>
      </c>
      <c r="E125" s="9" t="str">
        <f>Raw_Data!C125</f>
        <v>Sunita Agarwal</v>
      </c>
      <c r="F125" s="7" t="str">
        <f>Raw_Data!D125</f>
        <v>Chennai</v>
      </c>
      <c r="G125" s="9" t="str">
        <f>Raw_Data!E125</f>
        <v>Fluconazole 150mg</v>
      </c>
      <c r="H125" s="7" t="str">
        <f>Raw_Data!F125</f>
        <v>Capsule</v>
      </c>
      <c r="I125" s="7">
        <f>Raw_Data!G125</f>
        <v>19</v>
      </c>
      <c r="J125" s="10">
        <f>Raw_Data!H125</f>
        <v>75</v>
      </c>
      <c r="K125" s="10">
        <f>Raw_Data!I125</f>
        <v>37.5</v>
      </c>
      <c r="L125" s="10">
        <f>Raw_Data!J125</f>
        <v>1425</v>
      </c>
      <c r="M125" s="11">
        <f>Raw_Data!K125</f>
        <v>10</v>
      </c>
      <c r="N125" s="10">
        <f>Raw_Data!L125</f>
        <v>1282.5</v>
      </c>
      <c r="O125" s="10">
        <f t="shared" si="2"/>
        <v>712.5</v>
      </c>
      <c r="P125" s="14">
        <f t="shared" si="3"/>
        <v>0.5</v>
      </c>
      <c r="Q125" s="7" t="str">
        <f>Raw_Data!M125</f>
        <v>UPI</v>
      </c>
      <c r="R125" s="7" t="str">
        <f>Raw_Data!N125</f>
        <v>No</v>
      </c>
    </row>
    <row r="126" spans="1:18" x14ac:dyDescent="0.25">
      <c r="A126" s="2" t="str">
        <f>Raw_Data!A126</f>
        <v>ORD-0125</v>
      </c>
      <c r="B126" s="3">
        <f>Raw_Data!B126</f>
        <v>45411</v>
      </c>
      <c r="C126" s="2" t="str">
        <f>TEXT(Raw_Data!B126,"MMM")</f>
        <v>Apr</v>
      </c>
      <c r="D126" s="2">
        <f>YEAR(Raw_Data!B126)</f>
        <v>2024</v>
      </c>
      <c r="E126" s="4" t="str">
        <f>Raw_Data!C126</f>
        <v>Amit Agarwal</v>
      </c>
      <c r="F126" s="2" t="str">
        <f>Raw_Data!D126</f>
        <v>Surat</v>
      </c>
      <c r="G126" s="4" t="str">
        <f>Raw_Data!E126</f>
        <v>Omeprazole 20mg</v>
      </c>
      <c r="H126" s="2" t="str">
        <f>Raw_Data!F126</f>
        <v>Capsule</v>
      </c>
      <c r="I126" s="2">
        <f>Raw_Data!G126</f>
        <v>18</v>
      </c>
      <c r="J126" s="5">
        <f>Raw_Data!H126</f>
        <v>40</v>
      </c>
      <c r="K126" s="5">
        <f>Raw_Data!I126</f>
        <v>20</v>
      </c>
      <c r="L126" s="5">
        <f>Raw_Data!J126</f>
        <v>720</v>
      </c>
      <c r="M126" s="6">
        <f>Raw_Data!K126</f>
        <v>10</v>
      </c>
      <c r="N126" s="5">
        <f>Raw_Data!L126</f>
        <v>648</v>
      </c>
      <c r="O126" s="5">
        <f t="shared" si="2"/>
        <v>360</v>
      </c>
      <c r="P126" s="13">
        <f t="shared" si="3"/>
        <v>0.5</v>
      </c>
      <c r="Q126" s="2" t="str">
        <f>Raw_Data!M126</f>
        <v>Cash</v>
      </c>
      <c r="R126" s="2" t="str">
        <f>Raw_Data!N126</f>
        <v>No</v>
      </c>
    </row>
    <row r="127" spans="1:18" x14ac:dyDescent="0.25">
      <c r="A127" s="7" t="str">
        <f>Raw_Data!A127</f>
        <v>ORD-0126</v>
      </c>
      <c r="B127" s="8">
        <f>Raw_Data!B127</f>
        <v>45529</v>
      </c>
      <c r="C127" s="7" t="str">
        <f>TEXT(Raw_Data!B127,"MMM")</f>
        <v>Aug</v>
      </c>
      <c r="D127" s="7">
        <f>YEAR(Raw_Data!B127)</f>
        <v>2024</v>
      </c>
      <c r="E127" s="9" t="str">
        <f>Raw_Data!C127</f>
        <v>Rekha Patel</v>
      </c>
      <c r="F127" s="7" t="str">
        <f>Raw_Data!D127</f>
        <v>Kolkata</v>
      </c>
      <c r="G127" s="9" t="str">
        <f>Raw_Data!E127</f>
        <v>Candid Cream</v>
      </c>
      <c r="H127" s="7" t="str">
        <f>Raw_Data!F127</f>
        <v>Cream</v>
      </c>
      <c r="I127" s="7">
        <f>Raw_Data!G127</f>
        <v>4</v>
      </c>
      <c r="J127" s="10">
        <f>Raw_Data!H127</f>
        <v>65</v>
      </c>
      <c r="K127" s="10">
        <f>Raw_Data!I127</f>
        <v>30.55</v>
      </c>
      <c r="L127" s="10">
        <f>Raw_Data!J127</f>
        <v>260</v>
      </c>
      <c r="M127" s="11">
        <f>Raw_Data!K127</f>
        <v>0</v>
      </c>
      <c r="N127" s="10">
        <f>Raw_Data!L127</f>
        <v>260</v>
      </c>
      <c r="O127" s="10">
        <f t="shared" si="2"/>
        <v>137.80000000000001</v>
      </c>
      <c r="P127" s="14">
        <f t="shared" si="3"/>
        <v>0.53</v>
      </c>
      <c r="Q127" s="7" t="str">
        <f>Raw_Data!M127</f>
        <v>Cash</v>
      </c>
      <c r="R127" s="7" t="str">
        <f>Raw_Data!N127</f>
        <v>Yes</v>
      </c>
    </row>
    <row r="128" spans="1:18" x14ac:dyDescent="0.25">
      <c r="A128" s="2" t="str">
        <f>Raw_Data!A128</f>
        <v>ORD-0127</v>
      </c>
      <c r="B128" s="3">
        <f>Raw_Data!B128</f>
        <v>45341</v>
      </c>
      <c r="C128" s="2" t="str">
        <f>TEXT(Raw_Data!B128,"MMM")</f>
        <v>Feb</v>
      </c>
      <c r="D128" s="2">
        <f>YEAR(Raw_Data!B128)</f>
        <v>2024</v>
      </c>
      <c r="E128" s="4" t="str">
        <f>Raw_Data!C128</f>
        <v>Swati Mehta</v>
      </c>
      <c r="F128" s="2" t="str">
        <f>Raw_Data!D128</f>
        <v>Bangalore</v>
      </c>
      <c r="G128" s="4" t="str">
        <f>Raw_Data!E128</f>
        <v>Antacid Syrup</v>
      </c>
      <c r="H128" s="2" t="str">
        <f>Raw_Data!F128</f>
        <v>Syrup</v>
      </c>
      <c r="I128" s="2">
        <f>Raw_Data!G128</f>
        <v>13</v>
      </c>
      <c r="J128" s="5">
        <f>Raw_Data!H128</f>
        <v>80</v>
      </c>
      <c r="K128" s="5">
        <f>Raw_Data!I128</f>
        <v>38.4</v>
      </c>
      <c r="L128" s="5">
        <f>Raw_Data!J128</f>
        <v>1040</v>
      </c>
      <c r="M128" s="6">
        <f>Raw_Data!K128</f>
        <v>15</v>
      </c>
      <c r="N128" s="5">
        <f>Raw_Data!L128</f>
        <v>884</v>
      </c>
      <c r="O128" s="5">
        <f t="shared" si="2"/>
        <v>540.79999999999995</v>
      </c>
      <c r="P128" s="13">
        <f t="shared" si="3"/>
        <v>0.51999999999999991</v>
      </c>
      <c r="Q128" s="2" t="str">
        <f>Raw_Data!M128</f>
        <v>UPI</v>
      </c>
      <c r="R128" s="2" t="str">
        <f>Raw_Data!N128</f>
        <v>No</v>
      </c>
    </row>
    <row r="129" spans="1:18" x14ac:dyDescent="0.25">
      <c r="A129" s="7" t="str">
        <f>Raw_Data!A129</f>
        <v>ORD-0128</v>
      </c>
      <c r="B129" s="8">
        <f>Raw_Data!B129</f>
        <v>45592</v>
      </c>
      <c r="C129" s="7" t="str">
        <f>TEXT(Raw_Data!B129,"MMM")</f>
        <v>Oct</v>
      </c>
      <c r="D129" s="7">
        <f>YEAR(Raw_Data!B129)</f>
        <v>2024</v>
      </c>
      <c r="E129" s="9" t="str">
        <f>Raw_Data!C129</f>
        <v>Suresh Sharma</v>
      </c>
      <c r="F129" s="7" t="str">
        <f>Raw_Data!D129</f>
        <v>Bangalore</v>
      </c>
      <c r="G129" s="9" t="str">
        <f>Raw_Data!E129</f>
        <v>Soframycin Cream</v>
      </c>
      <c r="H129" s="7" t="str">
        <f>Raw_Data!F129</f>
        <v>Cream</v>
      </c>
      <c r="I129" s="7">
        <f>Raw_Data!G129</f>
        <v>14</v>
      </c>
      <c r="J129" s="10">
        <f>Raw_Data!H129</f>
        <v>72</v>
      </c>
      <c r="K129" s="10">
        <f>Raw_Data!I129</f>
        <v>33.840000000000003</v>
      </c>
      <c r="L129" s="10">
        <f>Raw_Data!J129</f>
        <v>1008</v>
      </c>
      <c r="M129" s="11">
        <f>Raw_Data!K129</f>
        <v>0</v>
      </c>
      <c r="N129" s="10">
        <f>Raw_Data!L129</f>
        <v>1008</v>
      </c>
      <c r="O129" s="10">
        <f t="shared" si="2"/>
        <v>534.24</v>
      </c>
      <c r="P129" s="14">
        <f t="shared" si="3"/>
        <v>0.53</v>
      </c>
      <c r="Q129" s="7" t="str">
        <f>Raw_Data!M129</f>
        <v>UPI</v>
      </c>
      <c r="R129" s="7" t="str">
        <f>Raw_Data!N129</f>
        <v>No</v>
      </c>
    </row>
    <row r="130" spans="1:18" x14ac:dyDescent="0.25">
      <c r="A130" s="2" t="str">
        <f>Raw_Data!A130</f>
        <v>ORD-0129</v>
      </c>
      <c r="B130" s="3">
        <f>Raw_Data!B130</f>
        <v>45645</v>
      </c>
      <c r="C130" s="2" t="str">
        <f>TEXT(Raw_Data!B130,"MMM")</f>
        <v>Dec</v>
      </c>
      <c r="D130" s="2">
        <f>YEAR(Raw_Data!B130)</f>
        <v>2024</v>
      </c>
      <c r="E130" s="4" t="str">
        <f>Raw_Data!C130</f>
        <v>Meera Verma</v>
      </c>
      <c r="F130" s="2" t="str">
        <f>Raw_Data!D130</f>
        <v>Ahmedabad</v>
      </c>
      <c r="G130" s="4" t="str">
        <f>Raw_Data!E130</f>
        <v>Ondansetron Inj</v>
      </c>
      <c r="H130" s="2" t="str">
        <f>Raw_Data!F130</f>
        <v>Injection</v>
      </c>
      <c r="I130" s="2">
        <f>Raw_Data!G130</f>
        <v>15</v>
      </c>
      <c r="J130" s="5">
        <f>Raw_Data!H130</f>
        <v>120</v>
      </c>
      <c r="K130" s="5">
        <f>Raw_Data!I130</f>
        <v>72</v>
      </c>
      <c r="L130" s="5">
        <f>Raw_Data!J130</f>
        <v>1800</v>
      </c>
      <c r="M130" s="6">
        <f>Raw_Data!K130</f>
        <v>5</v>
      </c>
      <c r="N130" s="5">
        <f>Raw_Data!L130</f>
        <v>1710</v>
      </c>
      <c r="O130" s="5">
        <f t="shared" ref="O130:O193" si="4">L130-(I130*K130)</f>
        <v>720</v>
      </c>
      <c r="P130" s="13">
        <f t="shared" ref="P130:P193" si="5">IFERROR((L130-(I130*K130))/L130,0)</f>
        <v>0.4</v>
      </c>
      <c r="Q130" s="2" t="str">
        <f>Raw_Data!M130</f>
        <v>Cash</v>
      </c>
      <c r="R130" s="2" t="str">
        <f>Raw_Data!N130</f>
        <v>Yes</v>
      </c>
    </row>
    <row r="131" spans="1:18" x14ac:dyDescent="0.25">
      <c r="A131" s="7" t="str">
        <f>Raw_Data!A131</f>
        <v>ORD-0130</v>
      </c>
      <c r="B131" s="8">
        <f>Raw_Data!B131</f>
        <v>45622</v>
      </c>
      <c r="C131" s="7" t="str">
        <f>TEXT(Raw_Data!B131,"MMM")</f>
        <v>Nov</v>
      </c>
      <c r="D131" s="7">
        <f>YEAR(Raw_Data!B131)</f>
        <v>2024</v>
      </c>
      <c r="E131" s="9" t="str">
        <f>Raw_Data!C131</f>
        <v>Sanjay Patel</v>
      </c>
      <c r="F131" s="7" t="str">
        <f>Raw_Data!D131</f>
        <v>Kolkata</v>
      </c>
      <c r="G131" s="9" t="str">
        <f>Raw_Data!E131</f>
        <v>Insulin Glargine</v>
      </c>
      <c r="H131" s="7" t="str">
        <f>Raw_Data!F131</f>
        <v>Injection</v>
      </c>
      <c r="I131" s="7">
        <f>Raw_Data!G131</f>
        <v>9</v>
      </c>
      <c r="J131" s="10">
        <f>Raw_Data!H131</f>
        <v>850</v>
      </c>
      <c r="K131" s="10">
        <f>Raw_Data!I131</f>
        <v>510</v>
      </c>
      <c r="L131" s="10">
        <f>Raw_Data!J131</f>
        <v>7650</v>
      </c>
      <c r="M131" s="11">
        <f>Raw_Data!K131</f>
        <v>5</v>
      </c>
      <c r="N131" s="10">
        <f>Raw_Data!L131</f>
        <v>7267.5</v>
      </c>
      <c r="O131" s="10">
        <f t="shared" si="4"/>
        <v>3060</v>
      </c>
      <c r="P131" s="14">
        <f t="shared" si="5"/>
        <v>0.4</v>
      </c>
      <c r="Q131" s="7" t="str">
        <f>Raw_Data!M131</f>
        <v>UPI</v>
      </c>
      <c r="R131" s="7" t="str">
        <f>Raw_Data!N131</f>
        <v>No</v>
      </c>
    </row>
    <row r="132" spans="1:18" x14ac:dyDescent="0.25">
      <c r="A132" s="2" t="str">
        <f>Raw_Data!A132</f>
        <v>ORD-0131</v>
      </c>
      <c r="B132" s="3">
        <f>Raw_Data!B132</f>
        <v>45631</v>
      </c>
      <c r="C132" s="2" t="str">
        <f>TEXT(Raw_Data!B132,"MMM")</f>
        <v>Dec</v>
      </c>
      <c r="D132" s="2">
        <f>YEAR(Raw_Data!B132)</f>
        <v>2024</v>
      </c>
      <c r="E132" s="4" t="str">
        <f>Raw_Data!C132</f>
        <v>Vijay Singh</v>
      </c>
      <c r="F132" s="2" t="str">
        <f>Raw_Data!D132</f>
        <v>Mumbai</v>
      </c>
      <c r="G132" s="4" t="str">
        <f>Raw_Data!E132</f>
        <v>Antacid Syrup</v>
      </c>
      <c r="H132" s="2" t="str">
        <f>Raw_Data!F132</f>
        <v>Syrup</v>
      </c>
      <c r="I132" s="2">
        <f>Raw_Data!G132</f>
        <v>2</v>
      </c>
      <c r="J132" s="5">
        <f>Raw_Data!H132</f>
        <v>80</v>
      </c>
      <c r="K132" s="5">
        <f>Raw_Data!I132</f>
        <v>38.4</v>
      </c>
      <c r="L132" s="5">
        <f>Raw_Data!J132</f>
        <v>160</v>
      </c>
      <c r="M132" s="6">
        <f>Raw_Data!K132</f>
        <v>10</v>
      </c>
      <c r="N132" s="5">
        <f>Raw_Data!L132</f>
        <v>144</v>
      </c>
      <c r="O132" s="5">
        <f t="shared" si="4"/>
        <v>83.2</v>
      </c>
      <c r="P132" s="13">
        <f t="shared" si="5"/>
        <v>0.52</v>
      </c>
      <c r="Q132" s="2" t="str">
        <f>Raw_Data!M132</f>
        <v>Cash</v>
      </c>
      <c r="R132" s="2" t="str">
        <f>Raw_Data!N132</f>
        <v>Yes</v>
      </c>
    </row>
    <row r="133" spans="1:18" x14ac:dyDescent="0.25">
      <c r="A133" s="7" t="str">
        <f>Raw_Data!A133</f>
        <v>ORD-0132</v>
      </c>
      <c r="B133" s="8">
        <f>Raw_Data!B133</f>
        <v>45327</v>
      </c>
      <c r="C133" s="7" t="str">
        <f>TEXT(Raw_Data!B133,"MMM")</f>
        <v>Feb</v>
      </c>
      <c r="D133" s="7">
        <f>YEAR(Raw_Data!B133)</f>
        <v>2024</v>
      </c>
      <c r="E133" s="9" t="str">
        <f>Raw_Data!C133</f>
        <v>Vikram Dubey</v>
      </c>
      <c r="F133" s="7" t="str">
        <f>Raw_Data!D133</f>
        <v>Hyderabad</v>
      </c>
      <c r="G133" s="9" t="str">
        <f>Raw_Data!E133</f>
        <v>Antifungal Powder</v>
      </c>
      <c r="H133" s="7" t="str">
        <f>Raw_Data!F133</f>
        <v>Powder</v>
      </c>
      <c r="I133" s="7">
        <f>Raw_Data!G133</f>
        <v>19</v>
      </c>
      <c r="J133" s="10">
        <f>Raw_Data!H133</f>
        <v>55</v>
      </c>
      <c r="K133" s="10">
        <f>Raw_Data!I133</f>
        <v>30.25</v>
      </c>
      <c r="L133" s="10">
        <f>Raw_Data!J133</f>
        <v>1045</v>
      </c>
      <c r="M133" s="11">
        <f>Raw_Data!K133</f>
        <v>5</v>
      </c>
      <c r="N133" s="10">
        <f>Raw_Data!L133</f>
        <v>992.75</v>
      </c>
      <c r="O133" s="10">
        <f t="shared" si="4"/>
        <v>470.25</v>
      </c>
      <c r="P133" s="14">
        <f t="shared" si="5"/>
        <v>0.45</v>
      </c>
      <c r="Q133" s="7" t="str">
        <f>Raw_Data!M133</f>
        <v>Cash</v>
      </c>
      <c r="R133" s="7" t="str">
        <f>Raw_Data!N133</f>
        <v>No</v>
      </c>
    </row>
    <row r="134" spans="1:18" x14ac:dyDescent="0.25">
      <c r="A134" s="2" t="str">
        <f>Raw_Data!A134</f>
        <v>ORD-0133</v>
      </c>
      <c r="B134" s="3">
        <f>Raw_Data!B134</f>
        <v>45597</v>
      </c>
      <c r="C134" s="2" t="str">
        <f>TEXT(Raw_Data!B134,"MMM")</f>
        <v>Nov</v>
      </c>
      <c r="D134" s="2">
        <f>YEAR(Raw_Data!B134)</f>
        <v>2024</v>
      </c>
      <c r="E134" s="4" t="str">
        <f>Raw_Data!C134</f>
        <v>Rahul Gupta</v>
      </c>
      <c r="F134" s="2" t="str">
        <f>Raw_Data!D134</f>
        <v>Bangalore</v>
      </c>
      <c r="G134" s="4" t="str">
        <f>Raw_Data!E134</f>
        <v>Cetirizine 10mg</v>
      </c>
      <c r="H134" s="2" t="str">
        <f>Raw_Data!F134</f>
        <v>Tablet</v>
      </c>
      <c r="I134" s="2">
        <f>Raw_Data!G134</f>
        <v>5</v>
      </c>
      <c r="J134" s="5">
        <f>Raw_Data!H134</f>
        <v>35</v>
      </c>
      <c r="K134" s="5">
        <f>Raw_Data!I134</f>
        <v>18.2</v>
      </c>
      <c r="L134" s="5">
        <f>Raw_Data!J134</f>
        <v>175</v>
      </c>
      <c r="M134" s="6">
        <f>Raw_Data!K134</f>
        <v>20</v>
      </c>
      <c r="N134" s="5">
        <f>Raw_Data!L134</f>
        <v>140</v>
      </c>
      <c r="O134" s="5">
        <f t="shared" si="4"/>
        <v>84</v>
      </c>
      <c r="P134" s="13">
        <f t="shared" si="5"/>
        <v>0.48</v>
      </c>
      <c r="Q134" s="2" t="str">
        <f>Raw_Data!M134</f>
        <v>Cash</v>
      </c>
      <c r="R134" s="2" t="str">
        <f>Raw_Data!N134</f>
        <v>Yes</v>
      </c>
    </row>
    <row r="135" spans="1:18" x14ac:dyDescent="0.25">
      <c r="A135" s="7" t="str">
        <f>Raw_Data!A135</f>
        <v>ORD-0134</v>
      </c>
      <c r="B135" s="8">
        <f>Raw_Data!B135</f>
        <v>45299</v>
      </c>
      <c r="C135" s="7" t="str">
        <f>TEXT(Raw_Data!B135,"MMM")</f>
        <v>Jan</v>
      </c>
      <c r="D135" s="7">
        <f>YEAR(Raw_Data!B135)</f>
        <v>2024</v>
      </c>
      <c r="E135" s="9" t="str">
        <f>Raw_Data!C135</f>
        <v>Pooja Verma</v>
      </c>
      <c r="F135" s="7" t="str">
        <f>Raw_Data!D135</f>
        <v>Surat</v>
      </c>
      <c r="G135" s="9" t="str">
        <f>Raw_Data!E135</f>
        <v>Ondansetron Inj</v>
      </c>
      <c r="H135" s="7" t="str">
        <f>Raw_Data!F135</f>
        <v>Injection</v>
      </c>
      <c r="I135" s="7">
        <f>Raw_Data!G135</f>
        <v>11</v>
      </c>
      <c r="J135" s="10">
        <f>Raw_Data!H135</f>
        <v>120</v>
      </c>
      <c r="K135" s="10">
        <f>Raw_Data!I135</f>
        <v>72</v>
      </c>
      <c r="L135" s="10">
        <f>Raw_Data!J135</f>
        <v>1320</v>
      </c>
      <c r="M135" s="11">
        <f>Raw_Data!K135</f>
        <v>0</v>
      </c>
      <c r="N135" s="10">
        <f>Raw_Data!L135</f>
        <v>1320</v>
      </c>
      <c r="O135" s="10">
        <f t="shared" si="4"/>
        <v>528</v>
      </c>
      <c r="P135" s="14">
        <f t="shared" si="5"/>
        <v>0.4</v>
      </c>
      <c r="Q135" s="7" t="str">
        <f>Raw_Data!M135</f>
        <v>Cash</v>
      </c>
      <c r="R135" s="7" t="str">
        <f>Raw_Data!N135</f>
        <v>Yes</v>
      </c>
    </row>
    <row r="136" spans="1:18" x14ac:dyDescent="0.25">
      <c r="A136" s="2" t="str">
        <f>Raw_Data!A136</f>
        <v>ORD-0135</v>
      </c>
      <c r="B136" s="3">
        <f>Raw_Data!B136</f>
        <v>45350</v>
      </c>
      <c r="C136" s="2" t="str">
        <f>TEXT(Raw_Data!B136,"MMM")</f>
        <v>Feb</v>
      </c>
      <c r="D136" s="2">
        <f>YEAR(Raw_Data!B136)</f>
        <v>2024</v>
      </c>
      <c r="E136" s="4" t="str">
        <f>Raw_Data!C136</f>
        <v>Manish Singh</v>
      </c>
      <c r="F136" s="2" t="str">
        <f>Raw_Data!D136</f>
        <v>Ahmedabad</v>
      </c>
      <c r="G136" s="4" t="str">
        <f>Raw_Data!E136</f>
        <v>Betadine Cream</v>
      </c>
      <c r="H136" s="2" t="str">
        <f>Raw_Data!F136</f>
        <v>Cream</v>
      </c>
      <c r="I136" s="2">
        <f>Raw_Data!G136</f>
        <v>15</v>
      </c>
      <c r="J136" s="5">
        <f>Raw_Data!H136</f>
        <v>85</v>
      </c>
      <c r="K136" s="5">
        <f>Raw_Data!I136</f>
        <v>39.950000000000003</v>
      </c>
      <c r="L136" s="5">
        <f>Raw_Data!J136</f>
        <v>1275</v>
      </c>
      <c r="M136" s="6">
        <f>Raw_Data!K136</f>
        <v>10</v>
      </c>
      <c r="N136" s="5">
        <f>Raw_Data!L136</f>
        <v>1147.5</v>
      </c>
      <c r="O136" s="5">
        <f t="shared" si="4"/>
        <v>675.75</v>
      </c>
      <c r="P136" s="13">
        <f t="shared" si="5"/>
        <v>0.53</v>
      </c>
      <c r="Q136" s="2" t="str">
        <f>Raw_Data!M136</f>
        <v>Cash</v>
      </c>
      <c r="R136" s="2" t="str">
        <f>Raw_Data!N136</f>
        <v>No</v>
      </c>
    </row>
    <row r="137" spans="1:18" x14ac:dyDescent="0.25">
      <c r="A137" s="7" t="str">
        <f>Raw_Data!A137</f>
        <v>ORD-0136</v>
      </c>
      <c r="B137" s="8">
        <f>Raw_Data!B137</f>
        <v>45606</v>
      </c>
      <c r="C137" s="7" t="str">
        <f>TEXT(Raw_Data!B137,"MMM")</f>
        <v>Nov</v>
      </c>
      <c r="D137" s="7">
        <f>YEAR(Raw_Data!B137)</f>
        <v>2024</v>
      </c>
      <c r="E137" s="9" t="str">
        <f>Raw_Data!C137</f>
        <v>Nikhil Mehta</v>
      </c>
      <c r="F137" s="7" t="str">
        <f>Raw_Data!D137</f>
        <v>Chennai</v>
      </c>
      <c r="G137" s="9" t="str">
        <f>Raw_Data!E137</f>
        <v>Azithromycin 500mg</v>
      </c>
      <c r="H137" s="7" t="str">
        <f>Raw_Data!F137</f>
        <v>Tablet</v>
      </c>
      <c r="I137" s="7">
        <f>Raw_Data!G137</f>
        <v>15</v>
      </c>
      <c r="J137" s="10">
        <f>Raw_Data!H137</f>
        <v>150</v>
      </c>
      <c r="K137" s="10">
        <f>Raw_Data!I137</f>
        <v>78</v>
      </c>
      <c r="L137" s="10">
        <f>Raw_Data!J137</f>
        <v>2250</v>
      </c>
      <c r="M137" s="11">
        <f>Raw_Data!K137</f>
        <v>0</v>
      </c>
      <c r="N137" s="10">
        <f>Raw_Data!L137</f>
        <v>2250</v>
      </c>
      <c r="O137" s="10">
        <f t="shared" si="4"/>
        <v>1080</v>
      </c>
      <c r="P137" s="14">
        <f t="shared" si="5"/>
        <v>0.48</v>
      </c>
      <c r="Q137" s="7" t="str">
        <f>Raw_Data!M137</f>
        <v>Card</v>
      </c>
      <c r="R137" s="7" t="str">
        <f>Raw_Data!N137</f>
        <v>Yes</v>
      </c>
    </row>
    <row r="138" spans="1:18" x14ac:dyDescent="0.25">
      <c r="A138" s="2" t="str">
        <f>Raw_Data!A138</f>
        <v>ORD-0137</v>
      </c>
      <c r="B138" s="3">
        <f>Raw_Data!B138</f>
        <v>45643</v>
      </c>
      <c r="C138" s="2" t="str">
        <f>TEXT(Raw_Data!B138,"MMM")</f>
        <v>Dec</v>
      </c>
      <c r="D138" s="2">
        <f>YEAR(Raw_Data!B138)</f>
        <v>2024</v>
      </c>
      <c r="E138" s="4" t="str">
        <f>Raw_Data!C138</f>
        <v>Vikram Kumar</v>
      </c>
      <c r="F138" s="2" t="str">
        <f>Raw_Data!D138</f>
        <v>Ahmedabad</v>
      </c>
      <c r="G138" s="4" t="str">
        <f>Raw_Data!E138</f>
        <v>Pantoprazole 40mg</v>
      </c>
      <c r="H138" s="2" t="str">
        <f>Raw_Data!F138</f>
        <v>Tablet</v>
      </c>
      <c r="I138" s="2">
        <f>Raw_Data!G138</f>
        <v>3</v>
      </c>
      <c r="J138" s="5">
        <f>Raw_Data!H138</f>
        <v>75</v>
      </c>
      <c r="K138" s="5">
        <f>Raw_Data!I138</f>
        <v>39</v>
      </c>
      <c r="L138" s="5">
        <f>Raw_Data!J138</f>
        <v>225</v>
      </c>
      <c r="M138" s="6">
        <f>Raw_Data!K138</f>
        <v>0</v>
      </c>
      <c r="N138" s="5">
        <f>Raw_Data!L138</f>
        <v>225</v>
      </c>
      <c r="O138" s="5">
        <f t="shared" si="4"/>
        <v>108</v>
      </c>
      <c r="P138" s="13">
        <f t="shared" si="5"/>
        <v>0.48</v>
      </c>
      <c r="Q138" s="2" t="str">
        <f>Raw_Data!M138</f>
        <v>Cash</v>
      </c>
      <c r="R138" s="2" t="str">
        <f>Raw_Data!N138</f>
        <v>Yes</v>
      </c>
    </row>
    <row r="139" spans="1:18" x14ac:dyDescent="0.25">
      <c r="A139" s="7" t="str">
        <f>Raw_Data!A139</f>
        <v>ORD-0138</v>
      </c>
      <c r="B139" s="8">
        <f>Raw_Data!B139</f>
        <v>45611</v>
      </c>
      <c r="C139" s="7" t="str">
        <f>TEXT(Raw_Data!B139,"MMM")</f>
        <v>Nov</v>
      </c>
      <c r="D139" s="7">
        <f>YEAR(Raw_Data!B139)</f>
        <v>2024</v>
      </c>
      <c r="E139" s="9" t="str">
        <f>Raw_Data!C139</f>
        <v>Sanjay Verma</v>
      </c>
      <c r="F139" s="7" t="str">
        <f>Raw_Data!D139</f>
        <v>Jaipur</v>
      </c>
      <c r="G139" s="9" t="str">
        <f>Raw_Data!E139</f>
        <v>Soframycin Cream</v>
      </c>
      <c r="H139" s="7" t="str">
        <f>Raw_Data!F139</f>
        <v>Cream</v>
      </c>
      <c r="I139" s="7">
        <f>Raw_Data!G139</f>
        <v>11</v>
      </c>
      <c r="J139" s="10">
        <f>Raw_Data!H139</f>
        <v>72</v>
      </c>
      <c r="K139" s="10">
        <f>Raw_Data!I139</f>
        <v>33.840000000000003</v>
      </c>
      <c r="L139" s="10">
        <f>Raw_Data!J139</f>
        <v>792</v>
      </c>
      <c r="M139" s="11">
        <f>Raw_Data!K139</f>
        <v>10</v>
      </c>
      <c r="N139" s="10">
        <f>Raw_Data!L139</f>
        <v>712.8</v>
      </c>
      <c r="O139" s="10">
        <f t="shared" si="4"/>
        <v>419.76</v>
      </c>
      <c r="P139" s="14">
        <f t="shared" si="5"/>
        <v>0.53</v>
      </c>
      <c r="Q139" s="7" t="str">
        <f>Raw_Data!M139</f>
        <v>Card</v>
      </c>
      <c r="R139" s="7" t="str">
        <f>Raw_Data!N139</f>
        <v>No</v>
      </c>
    </row>
    <row r="140" spans="1:18" x14ac:dyDescent="0.25">
      <c r="A140" s="2" t="str">
        <f>Raw_Data!A140</f>
        <v>ORD-0139</v>
      </c>
      <c r="B140" s="3">
        <f>Raw_Data!B140</f>
        <v>45601</v>
      </c>
      <c r="C140" s="2" t="str">
        <f>TEXT(Raw_Data!B140,"MMM")</f>
        <v>Nov</v>
      </c>
      <c r="D140" s="2">
        <f>YEAR(Raw_Data!B140)</f>
        <v>2024</v>
      </c>
      <c r="E140" s="4" t="str">
        <f>Raw_Data!C140</f>
        <v>Pooja Joshi</v>
      </c>
      <c r="F140" s="2" t="str">
        <f>Raw_Data!D140</f>
        <v>Delhi</v>
      </c>
      <c r="G140" s="4" t="str">
        <f>Raw_Data!E140</f>
        <v>Omeprazole 20mg</v>
      </c>
      <c r="H140" s="2" t="str">
        <f>Raw_Data!F140</f>
        <v>Capsule</v>
      </c>
      <c r="I140" s="2">
        <f>Raw_Data!G140</f>
        <v>18</v>
      </c>
      <c r="J140" s="5">
        <f>Raw_Data!H140</f>
        <v>40</v>
      </c>
      <c r="K140" s="5">
        <f>Raw_Data!I140</f>
        <v>20</v>
      </c>
      <c r="L140" s="5">
        <f>Raw_Data!J140</f>
        <v>720</v>
      </c>
      <c r="M140" s="6">
        <f>Raw_Data!K140</f>
        <v>5</v>
      </c>
      <c r="N140" s="5">
        <f>Raw_Data!L140</f>
        <v>684</v>
      </c>
      <c r="O140" s="5">
        <f t="shared" si="4"/>
        <v>360</v>
      </c>
      <c r="P140" s="13">
        <f t="shared" si="5"/>
        <v>0.5</v>
      </c>
      <c r="Q140" s="2" t="str">
        <f>Raw_Data!M140</f>
        <v>UPI</v>
      </c>
      <c r="R140" s="2" t="str">
        <f>Raw_Data!N140</f>
        <v>Yes</v>
      </c>
    </row>
    <row r="141" spans="1:18" x14ac:dyDescent="0.25">
      <c r="A141" s="7" t="str">
        <f>Raw_Data!A141</f>
        <v>ORD-0140</v>
      </c>
      <c r="B141" s="8">
        <f>Raw_Data!B141</f>
        <v>45524</v>
      </c>
      <c r="C141" s="7" t="str">
        <f>TEXT(Raw_Data!B141,"MMM")</f>
        <v>Aug</v>
      </c>
      <c r="D141" s="7">
        <f>YEAR(Raw_Data!B141)</f>
        <v>2024</v>
      </c>
      <c r="E141" s="9" t="str">
        <f>Raw_Data!C141</f>
        <v>Vikram Agarwal</v>
      </c>
      <c r="F141" s="7" t="str">
        <f>Raw_Data!D141</f>
        <v>Delhi</v>
      </c>
      <c r="G141" s="9" t="str">
        <f>Raw_Data!E141</f>
        <v>Vitamin D3 60K</v>
      </c>
      <c r="H141" s="7" t="str">
        <f>Raw_Data!F141</f>
        <v>Capsule</v>
      </c>
      <c r="I141" s="7">
        <f>Raw_Data!G141</f>
        <v>11</v>
      </c>
      <c r="J141" s="10">
        <f>Raw_Data!H141</f>
        <v>55</v>
      </c>
      <c r="K141" s="10">
        <f>Raw_Data!I141</f>
        <v>27.5</v>
      </c>
      <c r="L141" s="10">
        <f>Raw_Data!J141</f>
        <v>605</v>
      </c>
      <c r="M141" s="11">
        <f>Raw_Data!K141</f>
        <v>10</v>
      </c>
      <c r="N141" s="10">
        <f>Raw_Data!L141</f>
        <v>544.5</v>
      </c>
      <c r="O141" s="10">
        <f t="shared" si="4"/>
        <v>302.5</v>
      </c>
      <c r="P141" s="14">
        <f t="shared" si="5"/>
        <v>0.5</v>
      </c>
      <c r="Q141" s="7" t="str">
        <f>Raw_Data!M141</f>
        <v>Cash</v>
      </c>
      <c r="R141" s="7" t="str">
        <f>Raw_Data!N141</f>
        <v>Yes</v>
      </c>
    </row>
    <row r="142" spans="1:18" x14ac:dyDescent="0.25">
      <c r="A142" s="2" t="str">
        <f>Raw_Data!A142</f>
        <v>ORD-0141</v>
      </c>
      <c r="B142" s="3">
        <f>Raw_Data!B142</f>
        <v>45534</v>
      </c>
      <c r="C142" s="2" t="str">
        <f>TEXT(Raw_Data!B142,"MMM")</f>
        <v>Aug</v>
      </c>
      <c r="D142" s="2">
        <f>YEAR(Raw_Data!B142)</f>
        <v>2024</v>
      </c>
      <c r="E142" s="4" t="str">
        <f>Raw_Data!C142</f>
        <v>Vikram Verma</v>
      </c>
      <c r="F142" s="2" t="str">
        <f>Raw_Data!D142</f>
        <v>Delhi</v>
      </c>
      <c r="G142" s="4" t="str">
        <f>Raw_Data!E142</f>
        <v>Amoxicillin 250mg</v>
      </c>
      <c r="H142" s="2" t="str">
        <f>Raw_Data!F142</f>
        <v>Tablet</v>
      </c>
      <c r="I142" s="2">
        <f>Raw_Data!G142</f>
        <v>3</v>
      </c>
      <c r="J142" s="5">
        <f>Raw_Data!H142</f>
        <v>85</v>
      </c>
      <c r="K142" s="5">
        <f>Raw_Data!I142</f>
        <v>44.2</v>
      </c>
      <c r="L142" s="5">
        <f>Raw_Data!J142</f>
        <v>255</v>
      </c>
      <c r="M142" s="6">
        <f>Raw_Data!K142</f>
        <v>10</v>
      </c>
      <c r="N142" s="5">
        <f>Raw_Data!L142</f>
        <v>229.5</v>
      </c>
      <c r="O142" s="5">
        <f t="shared" si="4"/>
        <v>122.39999999999998</v>
      </c>
      <c r="P142" s="13">
        <f t="shared" si="5"/>
        <v>0.47999999999999993</v>
      </c>
      <c r="Q142" s="2" t="str">
        <f>Raw_Data!M142</f>
        <v>UPI</v>
      </c>
      <c r="R142" s="2" t="str">
        <f>Raw_Data!N142</f>
        <v>Yes</v>
      </c>
    </row>
    <row r="143" spans="1:18" x14ac:dyDescent="0.25">
      <c r="A143" s="7" t="str">
        <f>Raw_Data!A143</f>
        <v>ORD-0142</v>
      </c>
      <c r="B143" s="8">
        <f>Raw_Data!B143</f>
        <v>45322</v>
      </c>
      <c r="C143" s="7" t="str">
        <f>TEXT(Raw_Data!B143,"MMM")</f>
        <v>Jan</v>
      </c>
      <c r="D143" s="7">
        <f>YEAR(Raw_Data!B143)</f>
        <v>2024</v>
      </c>
      <c r="E143" s="9" t="str">
        <f>Raw_Data!C143</f>
        <v>Pooja Mishra</v>
      </c>
      <c r="F143" s="7" t="str">
        <f>Raw_Data!D143</f>
        <v>Jaipur</v>
      </c>
      <c r="G143" s="9" t="str">
        <f>Raw_Data!E143</f>
        <v>Refresh Tears</v>
      </c>
      <c r="H143" s="7" t="str">
        <f>Raw_Data!F143</f>
        <v>Drops</v>
      </c>
      <c r="I143" s="7">
        <f>Raw_Data!G143</f>
        <v>11</v>
      </c>
      <c r="J143" s="10">
        <f>Raw_Data!H143</f>
        <v>110</v>
      </c>
      <c r="K143" s="10">
        <f>Raw_Data!I143</f>
        <v>49.5</v>
      </c>
      <c r="L143" s="10">
        <f>Raw_Data!J143</f>
        <v>1210</v>
      </c>
      <c r="M143" s="11">
        <f>Raw_Data!K143</f>
        <v>0</v>
      </c>
      <c r="N143" s="10">
        <f>Raw_Data!L143</f>
        <v>1210</v>
      </c>
      <c r="O143" s="10">
        <f t="shared" si="4"/>
        <v>665.5</v>
      </c>
      <c r="P143" s="14">
        <f t="shared" si="5"/>
        <v>0.55000000000000004</v>
      </c>
      <c r="Q143" s="7" t="str">
        <f>Raw_Data!M143</f>
        <v>UPI</v>
      </c>
      <c r="R143" s="7" t="str">
        <f>Raw_Data!N143</f>
        <v>No</v>
      </c>
    </row>
    <row r="144" spans="1:18" x14ac:dyDescent="0.25">
      <c r="A144" s="2" t="str">
        <f>Raw_Data!A144</f>
        <v>ORD-0143</v>
      </c>
      <c r="B144" s="3">
        <f>Raw_Data!B144</f>
        <v>45318</v>
      </c>
      <c r="C144" s="2" t="str">
        <f>TEXT(Raw_Data!B144,"MMM")</f>
        <v>Jan</v>
      </c>
      <c r="D144" s="2">
        <f>YEAR(Raw_Data!B144)</f>
        <v>2024</v>
      </c>
      <c r="E144" s="4" t="str">
        <f>Raw_Data!C144</f>
        <v>Deepa Mishra</v>
      </c>
      <c r="F144" s="2" t="str">
        <f>Raw_Data!D144</f>
        <v>Pune</v>
      </c>
      <c r="G144" s="4" t="str">
        <f>Raw_Data!E144</f>
        <v>Dexamethasone Inj</v>
      </c>
      <c r="H144" s="2" t="str">
        <f>Raw_Data!F144</f>
        <v>Injection</v>
      </c>
      <c r="I144" s="2">
        <f>Raw_Data!G144</f>
        <v>4</v>
      </c>
      <c r="J144" s="5">
        <f>Raw_Data!H144</f>
        <v>95</v>
      </c>
      <c r="K144" s="5">
        <f>Raw_Data!I144</f>
        <v>57</v>
      </c>
      <c r="L144" s="5">
        <f>Raw_Data!J144</f>
        <v>380</v>
      </c>
      <c r="M144" s="6">
        <f>Raw_Data!K144</f>
        <v>20</v>
      </c>
      <c r="N144" s="5">
        <f>Raw_Data!L144</f>
        <v>304</v>
      </c>
      <c r="O144" s="5">
        <f t="shared" si="4"/>
        <v>152</v>
      </c>
      <c r="P144" s="13">
        <f t="shared" si="5"/>
        <v>0.4</v>
      </c>
      <c r="Q144" s="2" t="str">
        <f>Raw_Data!M144</f>
        <v>UPI</v>
      </c>
      <c r="R144" s="2" t="str">
        <f>Raw_Data!N144</f>
        <v>Yes</v>
      </c>
    </row>
    <row r="145" spans="1:18" x14ac:dyDescent="0.25">
      <c r="A145" s="7" t="str">
        <f>Raw_Data!A145</f>
        <v>ORD-0144</v>
      </c>
      <c r="B145" s="8">
        <f>Raw_Data!B145</f>
        <v>45347</v>
      </c>
      <c r="C145" s="7" t="str">
        <f>TEXT(Raw_Data!B145,"MMM")</f>
        <v>Feb</v>
      </c>
      <c r="D145" s="7">
        <f>YEAR(Raw_Data!B145)</f>
        <v>2024</v>
      </c>
      <c r="E145" s="9" t="str">
        <f>Raw_Data!C145</f>
        <v>Nisha Rao</v>
      </c>
      <c r="F145" s="7" t="str">
        <f>Raw_Data!D145</f>
        <v>Delhi</v>
      </c>
      <c r="G145" s="9" t="str">
        <f>Raw_Data!E145</f>
        <v>Dexamethasone Inj</v>
      </c>
      <c r="H145" s="7" t="str">
        <f>Raw_Data!F145</f>
        <v>Injection</v>
      </c>
      <c r="I145" s="7">
        <f>Raw_Data!G145</f>
        <v>9</v>
      </c>
      <c r="J145" s="10">
        <f>Raw_Data!H145</f>
        <v>95</v>
      </c>
      <c r="K145" s="10">
        <f>Raw_Data!I145</f>
        <v>57</v>
      </c>
      <c r="L145" s="10">
        <f>Raw_Data!J145</f>
        <v>855</v>
      </c>
      <c r="M145" s="11">
        <f>Raw_Data!K145</f>
        <v>5</v>
      </c>
      <c r="N145" s="10">
        <f>Raw_Data!L145</f>
        <v>812.25</v>
      </c>
      <c r="O145" s="10">
        <f t="shared" si="4"/>
        <v>342</v>
      </c>
      <c r="P145" s="14">
        <f t="shared" si="5"/>
        <v>0.4</v>
      </c>
      <c r="Q145" s="7" t="str">
        <f>Raw_Data!M145</f>
        <v>UPI</v>
      </c>
      <c r="R145" s="7" t="str">
        <f>Raw_Data!N145</f>
        <v>Yes</v>
      </c>
    </row>
    <row r="146" spans="1:18" x14ac:dyDescent="0.25">
      <c r="A146" s="2" t="str">
        <f>Raw_Data!A146</f>
        <v>ORD-0145</v>
      </c>
      <c r="B146" s="3">
        <f>Raw_Data!B146</f>
        <v>45637</v>
      </c>
      <c r="C146" s="2" t="str">
        <f>TEXT(Raw_Data!B146,"MMM")</f>
        <v>Dec</v>
      </c>
      <c r="D146" s="2">
        <f>YEAR(Raw_Data!B146)</f>
        <v>2024</v>
      </c>
      <c r="E146" s="4" t="str">
        <f>Raw_Data!C146</f>
        <v>Kavita Nair</v>
      </c>
      <c r="F146" s="2" t="str">
        <f>Raw_Data!D146</f>
        <v>Mumbai</v>
      </c>
      <c r="G146" s="4" t="str">
        <f>Raw_Data!E146</f>
        <v>Soframycin Cream</v>
      </c>
      <c r="H146" s="2" t="str">
        <f>Raw_Data!F146</f>
        <v>Cream</v>
      </c>
      <c r="I146" s="2">
        <f>Raw_Data!G146</f>
        <v>20</v>
      </c>
      <c r="J146" s="5">
        <f>Raw_Data!H146</f>
        <v>72</v>
      </c>
      <c r="K146" s="5">
        <f>Raw_Data!I146</f>
        <v>33.840000000000003</v>
      </c>
      <c r="L146" s="5">
        <f>Raw_Data!J146</f>
        <v>1440</v>
      </c>
      <c r="M146" s="6">
        <f>Raw_Data!K146</f>
        <v>5</v>
      </c>
      <c r="N146" s="5">
        <f>Raw_Data!L146</f>
        <v>1368</v>
      </c>
      <c r="O146" s="5">
        <f t="shared" si="4"/>
        <v>763.19999999999993</v>
      </c>
      <c r="P146" s="13">
        <f t="shared" si="5"/>
        <v>0.52999999999999992</v>
      </c>
      <c r="Q146" s="2" t="str">
        <f>Raw_Data!M146</f>
        <v>Cash</v>
      </c>
      <c r="R146" s="2" t="str">
        <f>Raw_Data!N146</f>
        <v>Yes</v>
      </c>
    </row>
    <row r="147" spans="1:18" x14ac:dyDescent="0.25">
      <c r="A147" s="7" t="str">
        <f>Raw_Data!A147</f>
        <v>ORD-0146</v>
      </c>
      <c r="B147" s="8">
        <f>Raw_Data!B147</f>
        <v>45465</v>
      </c>
      <c r="C147" s="7" t="str">
        <f>TEXT(Raw_Data!B147,"MMM")</f>
        <v>Jun</v>
      </c>
      <c r="D147" s="7">
        <f>YEAR(Raw_Data!B147)</f>
        <v>2024</v>
      </c>
      <c r="E147" s="9" t="str">
        <f>Raw_Data!C147</f>
        <v>Rahul Patel</v>
      </c>
      <c r="F147" s="7" t="str">
        <f>Raw_Data!D147</f>
        <v>Bangalore</v>
      </c>
      <c r="G147" s="9" t="str">
        <f>Raw_Data!E147</f>
        <v>Insulin Glargine</v>
      </c>
      <c r="H147" s="7" t="str">
        <f>Raw_Data!F147</f>
        <v>Injection</v>
      </c>
      <c r="I147" s="7">
        <f>Raw_Data!G147</f>
        <v>5</v>
      </c>
      <c r="J147" s="10">
        <f>Raw_Data!H147</f>
        <v>850</v>
      </c>
      <c r="K147" s="10">
        <f>Raw_Data!I147</f>
        <v>510</v>
      </c>
      <c r="L147" s="10">
        <f>Raw_Data!J147</f>
        <v>4250</v>
      </c>
      <c r="M147" s="11">
        <f>Raw_Data!K147</f>
        <v>10</v>
      </c>
      <c r="N147" s="10">
        <f>Raw_Data!L147</f>
        <v>3825</v>
      </c>
      <c r="O147" s="10">
        <f t="shared" si="4"/>
        <v>1700</v>
      </c>
      <c r="P147" s="14">
        <f t="shared" si="5"/>
        <v>0.4</v>
      </c>
      <c r="Q147" s="7" t="str">
        <f>Raw_Data!M147</f>
        <v>UPI</v>
      </c>
      <c r="R147" s="7" t="str">
        <f>Raw_Data!N147</f>
        <v>Yes</v>
      </c>
    </row>
    <row r="148" spans="1:18" x14ac:dyDescent="0.25">
      <c r="A148" s="2" t="str">
        <f>Raw_Data!A148</f>
        <v>ORD-0147</v>
      </c>
      <c r="B148" s="3">
        <f>Raw_Data!B148</f>
        <v>45563</v>
      </c>
      <c r="C148" s="2" t="str">
        <f>TEXT(Raw_Data!B148,"MMM")</f>
        <v>Sep</v>
      </c>
      <c r="D148" s="2">
        <f>YEAR(Raw_Data!B148)</f>
        <v>2024</v>
      </c>
      <c r="E148" s="4" t="str">
        <f>Raw_Data!C148</f>
        <v>Arjun Dubey</v>
      </c>
      <c r="F148" s="2" t="str">
        <f>Raw_Data!D148</f>
        <v>Kolkata</v>
      </c>
      <c r="G148" s="4" t="str">
        <f>Raw_Data!E148</f>
        <v>Cetirizine Syrup</v>
      </c>
      <c r="H148" s="2" t="str">
        <f>Raw_Data!F148</f>
        <v>Syrup</v>
      </c>
      <c r="I148" s="2">
        <f>Raw_Data!G148</f>
        <v>15</v>
      </c>
      <c r="J148" s="5">
        <f>Raw_Data!H148</f>
        <v>55</v>
      </c>
      <c r="K148" s="5">
        <f>Raw_Data!I148</f>
        <v>26.4</v>
      </c>
      <c r="L148" s="5">
        <f>Raw_Data!J148</f>
        <v>825</v>
      </c>
      <c r="M148" s="6">
        <f>Raw_Data!K148</f>
        <v>10</v>
      </c>
      <c r="N148" s="5">
        <f>Raw_Data!L148</f>
        <v>742.5</v>
      </c>
      <c r="O148" s="5">
        <f t="shared" si="4"/>
        <v>429</v>
      </c>
      <c r="P148" s="13">
        <f t="shared" si="5"/>
        <v>0.52</v>
      </c>
      <c r="Q148" s="2" t="str">
        <f>Raw_Data!M148</f>
        <v>Card</v>
      </c>
      <c r="R148" s="2" t="str">
        <f>Raw_Data!N148</f>
        <v>Yes</v>
      </c>
    </row>
    <row r="149" spans="1:18" x14ac:dyDescent="0.25">
      <c r="A149" s="7" t="str">
        <f>Raw_Data!A149</f>
        <v>ORD-0148</v>
      </c>
      <c r="B149" s="8">
        <f>Raw_Data!B149</f>
        <v>45582</v>
      </c>
      <c r="C149" s="7" t="str">
        <f>TEXT(Raw_Data!B149,"MMM")</f>
        <v>Oct</v>
      </c>
      <c r="D149" s="7">
        <f>YEAR(Raw_Data!B149)</f>
        <v>2024</v>
      </c>
      <c r="E149" s="9" t="str">
        <f>Raw_Data!C149</f>
        <v>Amit Kumar</v>
      </c>
      <c r="F149" s="7" t="str">
        <f>Raw_Data!D149</f>
        <v>Mumbai</v>
      </c>
      <c r="G149" s="9" t="str">
        <f>Raw_Data!E149</f>
        <v>Otrivin Nasal Drops</v>
      </c>
      <c r="H149" s="7" t="str">
        <f>Raw_Data!F149</f>
        <v>Drops</v>
      </c>
      <c r="I149" s="7">
        <f>Raw_Data!G149</f>
        <v>5</v>
      </c>
      <c r="J149" s="10">
        <f>Raw_Data!H149</f>
        <v>95</v>
      </c>
      <c r="K149" s="10">
        <f>Raw_Data!I149</f>
        <v>42.75</v>
      </c>
      <c r="L149" s="10">
        <f>Raw_Data!J149</f>
        <v>475</v>
      </c>
      <c r="M149" s="11">
        <f>Raw_Data!K149</f>
        <v>0</v>
      </c>
      <c r="N149" s="10">
        <f>Raw_Data!L149</f>
        <v>475</v>
      </c>
      <c r="O149" s="10">
        <f t="shared" si="4"/>
        <v>261.25</v>
      </c>
      <c r="P149" s="14">
        <f t="shared" si="5"/>
        <v>0.55000000000000004</v>
      </c>
      <c r="Q149" s="7" t="str">
        <f>Raw_Data!M149</f>
        <v>Cash</v>
      </c>
      <c r="R149" s="7" t="str">
        <f>Raw_Data!N149</f>
        <v>No</v>
      </c>
    </row>
    <row r="150" spans="1:18" x14ac:dyDescent="0.25">
      <c r="A150" s="2" t="str">
        <f>Raw_Data!A150</f>
        <v>ORD-0149</v>
      </c>
      <c r="B150" s="3">
        <f>Raw_Data!B150</f>
        <v>45518</v>
      </c>
      <c r="C150" s="2" t="str">
        <f>TEXT(Raw_Data!B150,"MMM")</f>
        <v>Aug</v>
      </c>
      <c r="D150" s="2">
        <f>YEAR(Raw_Data!B150)</f>
        <v>2024</v>
      </c>
      <c r="E150" s="4" t="str">
        <f>Raw_Data!C150</f>
        <v>Manish Patel</v>
      </c>
      <c r="F150" s="2" t="str">
        <f>Raw_Data!D150</f>
        <v>Ahmedabad</v>
      </c>
      <c r="G150" s="4" t="str">
        <f>Raw_Data!E150</f>
        <v>Candid Cream</v>
      </c>
      <c r="H150" s="2" t="str">
        <f>Raw_Data!F150</f>
        <v>Cream</v>
      </c>
      <c r="I150" s="2">
        <f>Raw_Data!G150</f>
        <v>20</v>
      </c>
      <c r="J150" s="5">
        <f>Raw_Data!H150</f>
        <v>65</v>
      </c>
      <c r="K150" s="5">
        <f>Raw_Data!I150</f>
        <v>30.55</v>
      </c>
      <c r="L150" s="5">
        <f>Raw_Data!J150</f>
        <v>1300</v>
      </c>
      <c r="M150" s="6">
        <f>Raw_Data!K150</f>
        <v>15</v>
      </c>
      <c r="N150" s="5">
        <f>Raw_Data!L150</f>
        <v>1105</v>
      </c>
      <c r="O150" s="5">
        <f t="shared" si="4"/>
        <v>689</v>
      </c>
      <c r="P150" s="13">
        <f t="shared" si="5"/>
        <v>0.53</v>
      </c>
      <c r="Q150" s="2" t="str">
        <f>Raw_Data!M150</f>
        <v>Cash</v>
      </c>
      <c r="R150" s="2" t="str">
        <f>Raw_Data!N150</f>
        <v>No</v>
      </c>
    </row>
    <row r="151" spans="1:18" x14ac:dyDescent="0.25">
      <c r="A151" s="7" t="str">
        <f>Raw_Data!A151</f>
        <v>ORD-0150</v>
      </c>
      <c r="B151" s="8">
        <f>Raw_Data!B151</f>
        <v>45468</v>
      </c>
      <c r="C151" s="7" t="str">
        <f>TEXT(Raw_Data!B151,"MMM")</f>
        <v>Jun</v>
      </c>
      <c r="D151" s="7">
        <f>YEAR(Raw_Data!B151)</f>
        <v>2024</v>
      </c>
      <c r="E151" s="9" t="str">
        <f>Raw_Data!C151</f>
        <v>Deepa Mehta</v>
      </c>
      <c r="F151" s="7" t="str">
        <f>Raw_Data!D151</f>
        <v>Chennai</v>
      </c>
      <c r="G151" s="9" t="str">
        <f>Raw_Data!E151</f>
        <v>Omeprazole 20mg</v>
      </c>
      <c r="H151" s="7" t="str">
        <f>Raw_Data!F151</f>
        <v>Capsule</v>
      </c>
      <c r="I151" s="7">
        <f>Raw_Data!G151</f>
        <v>19</v>
      </c>
      <c r="J151" s="10">
        <f>Raw_Data!H151</f>
        <v>40</v>
      </c>
      <c r="K151" s="10">
        <f>Raw_Data!I151</f>
        <v>20</v>
      </c>
      <c r="L151" s="10">
        <f>Raw_Data!J151</f>
        <v>760</v>
      </c>
      <c r="M151" s="11">
        <f>Raw_Data!K151</f>
        <v>15</v>
      </c>
      <c r="N151" s="10">
        <f>Raw_Data!L151</f>
        <v>646</v>
      </c>
      <c r="O151" s="10">
        <f t="shared" si="4"/>
        <v>380</v>
      </c>
      <c r="P151" s="14">
        <f t="shared" si="5"/>
        <v>0.5</v>
      </c>
      <c r="Q151" s="7" t="str">
        <f>Raw_Data!M151</f>
        <v>Card</v>
      </c>
      <c r="R151" s="7" t="str">
        <f>Raw_Data!N151</f>
        <v>Yes</v>
      </c>
    </row>
    <row r="152" spans="1:18" x14ac:dyDescent="0.25">
      <c r="A152" s="2" t="str">
        <f>Raw_Data!A152</f>
        <v>ORD-0151</v>
      </c>
      <c r="B152" s="3">
        <f>Raw_Data!B152</f>
        <v>45598</v>
      </c>
      <c r="C152" s="2" t="str">
        <f>TEXT(Raw_Data!B152,"MMM")</f>
        <v>Nov</v>
      </c>
      <c r="D152" s="2">
        <f>YEAR(Raw_Data!B152)</f>
        <v>2024</v>
      </c>
      <c r="E152" s="4" t="str">
        <f>Raw_Data!C152</f>
        <v>Kavita Joshi</v>
      </c>
      <c r="F152" s="2" t="str">
        <f>Raw_Data!D152</f>
        <v>Hyderabad</v>
      </c>
      <c r="G152" s="4" t="str">
        <f>Raw_Data!E152</f>
        <v>Paracetamol 500mg</v>
      </c>
      <c r="H152" s="2" t="str">
        <f>Raw_Data!F152</f>
        <v>Tablet</v>
      </c>
      <c r="I152" s="2">
        <f>Raw_Data!G152</f>
        <v>10</v>
      </c>
      <c r="J152" s="5">
        <f>Raw_Data!H152</f>
        <v>20</v>
      </c>
      <c r="K152" s="5">
        <f>Raw_Data!I152</f>
        <v>10.4</v>
      </c>
      <c r="L152" s="5">
        <f>Raw_Data!J152</f>
        <v>200</v>
      </c>
      <c r="M152" s="6">
        <f>Raw_Data!K152</f>
        <v>5</v>
      </c>
      <c r="N152" s="5">
        <f>Raw_Data!L152</f>
        <v>190</v>
      </c>
      <c r="O152" s="5">
        <f t="shared" si="4"/>
        <v>96</v>
      </c>
      <c r="P152" s="13">
        <f t="shared" si="5"/>
        <v>0.48</v>
      </c>
      <c r="Q152" s="2" t="str">
        <f>Raw_Data!M152</f>
        <v>UPI</v>
      </c>
      <c r="R152" s="2" t="str">
        <f>Raw_Data!N152</f>
        <v>No</v>
      </c>
    </row>
    <row r="153" spans="1:18" x14ac:dyDescent="0.25">
      <c r="A153" s="7" t="str">
        <f>Raw_Data!A153</f>
        <v>ORD-0152</v>
      </c>
      <c r="B153" s="8">
        <f>Raw_Data!B153</f>
        <v>45353</v>
      </c>
      <c r="C153" s="7" t="str">
        <f>TEXT(Raw_Data!B153,"MMM")</f>
        <v>Mar</v>
      </c>
      <c r="D153" s="7">
        <f>YEAR(Raw_Data!B153)</f>
        <v>2024</v>
      </c>
      <c r="E153" s="9" t="str">
        <f>Raw_Data!C153</f>
        <v>Manish Verma</v>
      </c>
      <c r="F153" s="7" t="str">
        <f>Raw_Data!D153</f>
        <v>Kolkata</v>
      </c>
      <c r="G153" s="9" t="str">
        <f>Raw_Data!E153</f>
        <v>Pantoprazole 40mg</v>
      </c>
      <c r="H153" s="7" t="str">
        <f>Raw_Data!F153</f>
        <v>Tablet</v>
      </c>
      <c r="I153" s="7">
        <f>Raw_Data!G153</f>
        <v>6</v>
      </c>
      <c r="J153" s="10">
        <f>Raw_Data!H153</f>
        <v>75</v>
      </c>
      <c r="K153" s="10">
        <f>Raw_Data!I153</f>
        <v>39</v>
      </c>
      <c r="L153" s="10">
        <f>Raw_Data!J153</f>
        <v>450</v>
      </c>
      <c r="M153" s="11">
        <f>Raw_Data!K153</f>
        <v>0</v>
      </c>
      <c r="N153" s="10">
        <f>Raw_Data!L153</f>
        <v>450</v>
      </c>
      <c r="O153" s="10">
        <f t="shared" si="4"/>
        <v>216</v>
      </c>
      <c r="P153" s="14">
        <f t="shared" si="5"/>
        <v>0.48</v>
      </c>
      <c r="Q153" s="7" t="str">
        <f>Raw_Data!M153</f>
        <v>UPI</v>
      </c>
      <c r="R153" s="7" t="str">
        <f>Raw_Data!N153</f>
        <v>Yes</v>
      </c>
    </row>
    <row r="154" spans="1:18" x14ac:dyDescent="0.25">
      <c r="A154" s="2" t="str">
        <f>Raw_Data!A154</f>
        <v>ORD-0153</v>
      </c>
      <c r="B154" s="3">
        <f>Raw_Data!B154</f>
        <v>45634</v>
      </c>
      <c r="C154" s="2" t="str">
        <f>TEXT(Raw_Data!B154,"MMM")</f>
        <v>Dec</v>
      </c>
      <c r="D154" s="2">
        <f>YEAR(Raw_Data!B154)</f>
        <v>2024</v>
      </c>
      <c r="E154" s="4" t="str">
        <f>Raw_Data!C154</f>
        <v>Amit Mishra</v>
      </c>
      <c r="F154" s="2" t="str">
        <f>Raw_Data!D154</f>
        <v>Delhi</v>
      </c>
      <c r="G154" s="4" t="str">
        <f>Raw_Data!E154</f>
        <v>Protein Supplement</v>
      </c>
      <c r="H154" s="2" t="str">
        <f>Raw_Data!F154</f>
        <v>Powder</v>
      </c>
      <c r="I154" s="2">
        <f>Raw_Data!G154</f>
        <v>13</v>
      </c>
      <c r="J154" s="5">
        <f>Raw_Data!H154</f>
        <v>450</v>
      </c>
      <c r="K154" s="5">
        <f>Raw_Data!I154</f>
        <v>247.5</v>
      </c>
      <c r="L154" s="5">
        <f>Raw_Data!J154</f>
        <v>5850</v>
      </c>
      <c r="M154" s="6">
        <f>Raw_Data!K154</f>
        <v>0</v>
      </c>
      <c r="N154" s="5">
        <f>Raw_Data!L154</f>
        <v>5850</v>
      </c>
      <c r="O154" s="5">
        <f t="shared" si="4"/>
        <v>2632.5</v>
      </c>
      <c r="P154" s="13">
        <f t="shared" si="5"/>
        <v>0.45</v>
      </c>
      <c r="Q154" s="2" t="str">
        <f>Raw_Data!M154</f>
        <v>Card</v>
      </c>
      <c r="R154" s="2" t="str">
        <f>Raw_Data!N154</f>
        <v>No</v>
      </c>
    </row>
    <row r="155" spans="1:18" x14ac:dyDescent="0.25">
      <c r="A155" s="7" t="str">
        <f>Raw_Data!A155</f>
        <v>ORD-0154</v>
      </c>
      <c r="B155" s="8">
        <f>Raw_Data!B155</f>
        <v>45452</v>
      </c>
      <c r="C155" s="7" t="str">
        <f>TEXT(Raw_Data!B155,"MMM")</f>
        <v>Jun</v>
      </c>
      <c r="D155" s="7">
        <f>YEAR(Raw_Data!B155)</f>
        <v>2024</v>
      </c>
      <c r="E155" s="9" t="str">
        <f>Raw_Data!C155</f>
        <v>Arjun Gupta</v>
      </c>
      <c r="F155" s="7" t="str">
        <f>Raw_Data!D155</f>
        <v>Surat</v>
      </c>
      <c r="G155" s="9" t="str">
        <f>Raw_Data!E155</f>
        <v>Cipla Eye Drops</v>
      </c>
      <c r="H155" s="7" t="str">
        <f>Raw_Data!F155</f>
        <v>Drops</v>
      </c>
      <c r="I155" s="7">
        <f>Raw_Data!G155</f>
        <v>13</v>
      </c>
      <c r="J155" s="10">
        <f>Raw_Data!H155</f>
        <v>70</v>
      </c>
      <c r="K155" s="10">
        <f>Raw_Data!I155</f>
        <v>31.5</v>
      </c>
      <c r="L155" s="10">
        <f>Raw_Data!J155</f>
        <v>910</v>
      </c>
      <c r="M155" s="11">
        <f>Raw_Data!K155</f>
        <v>10</v>
      </c>
      <c r="N155" s="10">
        <f>Raw_Data!L155</f>
        <v>819</v>
      </c>
      <c r="O155" s="10">
        <f t="shared" si="4"/>
        <v>500.5</v>
      </c>
      <c r="P155" s="14">
        <f t="shared" si="5"/>
        <v>0.55000000000000004</v>
      </c>
      <c r="Q155" s="7" t="str">
        <f>Raw_Data!M155</f>
        <v>Card</v>
      </c>
      <c r="R155" s="7" t="str">
        <f>Raw_Data!N155</f>
        <v>Yes</v>
      </c>
    </row>
    <row r="156" spans="1:18" x14ac:dyDescent="0.25">
      <c r="A156" s="2" t="str">
        <f>Raw_Data!A156</f>
        <v>ORD-0155</v>
      </c>
      <c r="B156" s="3">
        <f>Raw_Data!B156</f>
        <v>45608</v>
      </c>
      <c r="C156" s="2" t="str">
        <f>TEXT(Raw_Data!B156,"MMM")</f>
        <v>Nov</v>
      </c>
      <c r="D156" s="2">
        <f>YEAR(Raw_Data!B156)</f>
        <v>2024</v>
      </c>
      <c r="E156" s="4" t="str">
        <f>Raw_Data!C156</f>
        <v>Manish Patel</v>
      </c>
      <c r="F156" s="2" t="str">
        <f>Raw_Data!D156</f>
        <v>Delhi</v>
      </c>
      <c r="G156" s="4" t="str">
        <f>Raw_Data!E156</f>
        <v>Fluconazole 150mg</v>
      </c>
      <c r="H156" s="2" t="str">
        <f>Raw_Data!F156</f>
        <v>Capsule</v>
      </c>
      <c r="I156" s="2">
        <f>Raw_Data!G156</f>
        <v>14</v>
      </c>
      <c r="J156" s="5">
        <f>Raw_Data!H156</f>
        <v>75</v>
      </c>
      <c r="K156" s="5">
        <f>Raw_Data!I156</f>
        <v>37.5</v>
      </c>
      <c r="L156" s="5">
        <f>Raw_Data!J156</f>
        <v>1050</v>
      </c>
      <c r="M156" s="6">
        <f>Raw_Data!K156</f>
        <v>0</v>
      </c>
      <c r="N156" s="5">
        <f>Raw_Data!L156</f>
        <v>1050</v>
      </c>
      <c r="O156" s="5">
        <f t="shared" si="4"/>
        <v>525</v>
      </c>
      <c r="P156" s="13">
        <f t="shared" si="5"/>
        <v>0.5</v>
      </c>
      <c r="Q156" s="2" t="str">
        <f>Raw_Data!M156</f>
        <v>Card</v>
      </c>
      <c r="R156" s="2" t="str">
        <f>Raw_Data!N156</f>
        <v>Yes</v>
      </c>
    </row>
    <row r="157" spans="1:18" x14ac:dyDescent="0.25">
      <c r="A157" s="7" t="str">
        <f>Raw_Data!A157</f>
        <v>ORD-0156</v>
      </c>
      <c r="B157" s="8">
        <f>Raw_Data!B157</f>
        <v>45494</v>
      </c>
      <c r="C157" s="7" t="str">
        <f>TEXT(Raw_Data!B157,"MMM")</f>
        <v>Jul</v>
      </c>
      <c r="D157" s="7">
        <f>YEAR(Raw_Data!B157)</f>
        <v>2024</v>
      </c>
      <c r="E157" s="9" t="str">
        <f>Raw_Data!C157</f>
        <v>Sunita Verma</v>
      </c>
      <c r="F157" s="7" t="str">
        <f>Raw_Data!D157</f>
        <v>Pune</v>
      </c>
      <c r="G157" s="9" t="str">
        <f>Raw_Data!E157</f>
        <v>Protein Supplement</v>
      </c>
      <c r="H157" s="7" t="str">
        <f>Raw_Data!F157</f>
        <v>Powder</v>
      </c>
      <c r="I157" s="7">
        <f>Raw_Data!G157</f>
        <v>8</v>
      </c>
      <c r="J157" s="10">
        <f>Raw_Data!H157</f>
        <v>450</v>
      </c>
      <c r="K157" s="10">
        <f>Raw_Data!I157</f>
        <v>247.5</v>
      </c>
      <c r="L157" s="10">
        <f>Raw_Data!J157</f>
        <v>3600</v>
      </c>
      <c r="M157" s="11">
        <f>Raw_Data!K157</f>
        <v>10</v>
      </c>
      <c r="N157" s="10">
        <f>Raw_Data!L157</f>
        <v>3240</v>
      </c>
      <c r="O157" s="10">
        <f t="shared" si="4"/>
        <v>1620</v>
      </c>
      <c r="P157" s="14">
        <f t="shared" si="5"/>
        <v>0.45</v>
      </c>
      <c r="Q157" s="7" t="str">
        <f>Raw_Data!M157</f>
        <v>Cash</v>
      </c>
      <c r="R157" s="7" t="str">
        <f>Raw_Data!N157</f>
        <v>No</v>
      </c>
    </row>
    <row r="158" spans="1:18" x14ac:dyDescent="0.25">
      <c r="A158" s="2" t="str">
        <f>Raw_Data!A158</f>
        <v>ORD-0157</v>
      </c>
      <c r="B158" s="3">
        <f>Raw_Data!B158</f>
        <v>45553</v>
      </c>
      <c r="C158" s="2" t="str">
        <f>TEXT(Raw_Data!B158,"MMM")</f>
        <v>Sep</v>
      </c>
      <c r="D158" s="2">
        <f>YEAR(Raw_Data!B158)</f>
        <v>2024</v>
      </c>
      <c r="E158" s="4" t="str">
        <f>Raw_Data!C158</f>
        <v>Anjali Rao</v>
      </c>
      <c r="F158" s="2" t="str">
        <f>Raw_Data!D158</f>
        <v>Pune</v>
      </c>
      <c r="G158" s="4" t="str">
        <f>Raw_Data!E158</f>
        <v>Paracetamol Syrup</v>
      </c>
      <c r="H158" s="2" t="str">
        <f>Raw_Data!F158</f>
        <v>Syrup</v>
      </c>
      <c r="I158" s="2">
        <f>Raw_Data!G158</f>
        <v>5</v>
      </c>
      <c r="J158" s="5">
        <f>Raw_Data!H158</f>
        <v>45</v>
      </c>
      <c r="K158" s="5">
        <f>Raw_Data!I158</f>
        <v>21.6</v>
      </c>
      <c r="L158" s="5">
        <f>Raw_Data!J158</f>
        <v>225</v>
      </c>
      <c r="M158" s="6">
        <f>Raw_Data!K158</f>
        <v>5</v>
      </c>
      <c r="N158" s="5">
        <f>Raw_Data!L158</f>
        <v>213.75</v>
      </c>
      <c r="O158" s="5">
        <f t="shared" si="4"/>
        <v>117</v>
      </c>
      <c r="P158" s="13">
        <f t="shared" si="5"/>
        <v>0.52</v>
      </c>
      <c r="Q158" s="2" t="str">
        <f>Raw_Data!M158</f>
        <v>Cash</v>
      </c>
      <c r="R158" s="2" t="str">
        <f>Raw_Data!N158</f>
        <v>Yes</v>
      </c>
    </row>
    <row r="159" spans="1:18" x14ac:dyDescent="0.25">
      <c r="A159" s="7" t="str">
        <f>Raw_Data!A159</f>
        <v>ORD-0158</v>
      </c>
      <c r="B159" s="8">
        <f>Raw_Data!B159</f>
        <v>45370</v>
      </c>
      <c r="C159" s="7" t="str">
        <f>TEXT(Raw_Data!B159,"MMM")</f>
        <v>Mar</v>
      </c>
      <c r="D159" s="7">
        <f>YEAR(Raw_Data!B159)</f>
        <v>2024</v>
      </c>
      <c r="E159" s="9" t="str">
        <f>Raw_Data!C159</f>
        <v>Vijay Shah</v>
      </c>
      <c r="F159" s="7" t="str">
        <f>Raw_Data!D159</f>
        <v>Delhi</v>
      </c>
      <c r="G159" s="9" t="str">
        <f>Raw_Data!E159</f>
        <v>Antifungal Powder</v>
      </c>
      <c r="H159" s="7" t="str">
        <f>Raw_Data!F159</f>
        <v>Powder</v>
      </c>
      <c r="I159" s="7">
        <f>Raw_Data!G159</f>
        <v>6</v>
      </c>
      <c r="J159" s="10">
        <f>Raw_Data!H159</f>
        <v>55</v>
      </c>
      <c r="K159" s="10">
        <f>Raw_Data!I159</f>
        <v>30.25</v>
      </c>
      <c r="L159" s="10">
        <f>Raw_Data!J159</f>
        <v>330</v>
      </c>
      <c r="M159" s="11">
        <f>Raw_Data!K159</f>
        <v>15</v>
      </c>
      <c r="N159" s="10">
        <f>Raw_Data!L159</f>
        <v>280.5</v>
      </c>
      <c r="O159" s="10">
        <f t="shared" si="4"/>
        <v>148.5</v>
      </c>
      <c r="P159" s="14">
        <f t="shared" si="5"/>
        <v>0.45</v>
      </c>
      <c r="Q159" s="7" t="str">
        <f>Raw_Data!M159</f>
        <v>Card</v>
      </c>
      <c r="R159" s="7" t="str">
        <f>Raw_Data!N159</f>
        <v>No</v>
      </c>
    </row>
    <row r="160" spans="1:18" x14ac:dyDescent="0.25">
      <c r="A160" s="2" t="str">
        <f>Raw_Data!A160</f>
        <v>ORD-0159</v>
      </c>
      <c r="B160" s="3">
        <f>Raw_Data!B160</f>
        <v>45640</v>
      </c>
      <c r="C160" s="2" t="str">
        <f>TEXT(Raw_Data!B160,"MMM")</f>
        <v>Dec</v>
      </c>
      <c r="D160" s="2">
        <f>YEAR(Raw_Data!B160)</f>
        <v>2024</v>
      </c>
      <c r="E160" s="4" t="str">
        <f>Raw_Data!C160</f>
        <v>Sanjay Agarwal</v>
      </c>
      <c r="F160" s="2" t="str">
        <f>Raw_Data!D160</f>
        <v>Surat</v>
      </c>
      <c r="G160" s="4" t="str">
        <f>Raw_Data!E160</f>
        <v>Refresh Tears</v>
      </c>
      <c r="H160" s="2" t="str">
        <f>Raw_Data!F160</f>
        <v>Drops</v>
      </c>
      <c r="I160" s="2">
        <f>Raw_Data!G160</f>
        <v>11</v>
      </c>
      <c r="J160" s="5">
        <f>Raw_Data!H160</f>
        <v>110</v>
      </c>
      <c r="K160" s="5">
        <f>Raw_Data!I160</f>
        <v>49.5</v>
      </c>
      <c r="L160" s="5">
        <f>Raw_Data!J160</f>
        <v>1210</v>
      </c>
      <c r="M160" s="6">
        <f>Raw_Data!K160</f>
        <v>10</v>
      </c>
      <c r="N160" s="5">
        <f>Raw_Data!L160</f>
        <v>1089</v>
      </c>
      <c r="O160" s="5">
        <f t="shared" si="4"/>
        <v>665.5</v>
      </c>
      <c r="P160" s="13">
        <f t="shared" si="5"/>
        <v>0.55000000000000004</v>
      </c>
      <c r="Q160" s="2" t="str">
        <f>Raw_Data!M160</f>
        <v>Cash</v>
      </c>
      <c r="R160" s="2" t="str">
        <f>Raw_Data!N160</f>
        <v>Yes</v>
      </c>
    </row>
    <row r="161" spans="1:18" x14ac:dyDescent="0.25">
      <c r="A161" s="7" t="str">
        <f>Raw_Data!A161</f>
        <v>ORD-0160</v>
      </c>
      <c r="B161" s="8">
        <f>Raw_Data!B161</f>
        <v>45447</v>
      </c>
      <c r="C161" s="7" t="str">
        <f>TEXT(Raw_Data!B161,"MMM")</f>
        <v>Jun</v>
      </c>
      <c r="D161" s="7">
        <f>YEAR(Raw_Data!B161)</f>
        <v>2024</v>
      </c>
      <c r="E161" s="9" t="str">
        <f>Raw_Data!C161</f>
        <v>Sanjay Sharma</v>
      </c>
      <c r="F161" s="7" t="str">
        <f>Raw_Data!D161</f>
        <v>Surat</v>
      </c>
      <c r="G161" s="9" t="str">
        <f>Raw_Data!E161</f>
        <v>Protein Supplement</v>
      </c>
      <c r="H161" s="7" t="str">
        <f>Raw_Data!F161</f>
        <v>Powder</v>
      </c>
      <c r="I161" s="7">
        <f>Raw_Data!G161</f>
        <v>2</v>
      </c>
      <c r="J161" s="10">
        <f>Raw_Data!H161</f>
        <v>450</v>
      </c>
      <c r="K161" s="10">
        <f>Raw_Data!I161</f>
        <v>247.5</v>
      </c>
      <c r="L161" s="10">
        <f>Raw_Data!J161</f>
        <v>900</v>
      </c>
      <c r="M161" s="11">
        <f>Raw_Data!K161</f>
        <v>10</v>
      </c>
      <c r="N161" s="10">
        <f>Raw_Data!L161</f>
        <v>810</v>
      </c>
      <c r="O161" s="10">
        <f t="shared" si="4"/>
        <v>405</v>
      </c>
      <c r="P161" s="14">
        <f t="shared" si="5"/>
        <v>0.45</v>
      </c>
      <c r="Q161" s="7" t="str">
        <f>Raw_Data!M161</f>
        <v>Card</v>
      </c>
      <c r="R161" s="7" t="str">
        <f>Raw_Data!N161</f>
        <v>No</v>
      </c>
    </row>
    <row r="162" spans="1:18" x14ac:dyDescent="0.25">
      <c r="A162" s="2" t="str">
        <f>Raw_Data!A162</f>
        <v>ORD-0161</v>
      </c>
      <c r="B162" s="3">
        <f>Raw_Data!B162</f>
        <v>45321</v>
      </c>
      <c r="C162" s="2" t="str">
        <f>TEXT(Raw_Data!B162,"MMM")</f>
        <v>Jan</v>
      </c>
      <c r="D162" s="2">
        <f>YEAR(Raw_Data!B162)</f>
        <v>2024</v>
      </c>
      <c r="E162" s="4" t="str">
        <f>Raw_Data!C162</f>
        <v>Priya Shah</v>
      </c>
      <c r="F162" s="2" t="str">
        <f>Raw_Data!D162</f>
        <v>Delhi</v>
      </c>
      <c r="G162" s="4" t="str">
        <f>Raw_Data!E162</f>
        <v>Dexamethasone Inj</v>
      </c>
      <c r="H162" s="2" t="str">
        <f>Raw_Data!F162</f>
        <v>Injection</v>
      </c>
      <c r="I162" s="2">
        <f>Raw_Data!G162</f>
        <v>3</v>
      </c>
      <c r="J162" s="5">
        <f>Raw_Data!H162</f>
        <v>95</v>
      </c>
      <c r="K162" s="5">
        <f>Raw_Data!I162</f>
        <v>57</v>
      </c>
      <c r="L162" s="5">
        <f>Raw_Data!J162</f>
        <v>285</v>
      </c>
      <c r="M162" s="6">
        <f>Raw_Data!K162</f>
        <v>20</v>
      </c>
      <c r="N162" s="5">
        <f>Raw_Data!L162</f>
        <v>228</v>
      </c>
      <c r="O162" s="5">
        <f t="shared" si="4"/>
        <v>114</v>
      </c>
      <c r="P162" s="13">
        <f t="shared" si="5"/>
        <v>0.4</v>
      </c>
      <c r="Q162" s="2" t="str">
        <f>Raw_Data!M162</f>
        <v>Card</v>
      </c>
      <c r="R162" s="2" t="str">
        <f>Raw_Data!N162</f>
        <v>Yes</v>
      </c>
    </row>
    <row r="163" spans="1:18" x14ac:dyDescent="0.25">
      <c r="A163" s="7" t="str">
        <f>Raw_Data!A163</f>
        <v>ORD-0162</v>
      </c>
      <c r="B163" s="8">
        <f>Raw_Data!B163</f>
        <v>45584</v>
      </c>
      <c r="C163" s="7" t="str">
        <f>TEXT(Raw_Data!B163,"MMM")</f>
        <v>Oct</v>
      </c>
      <c r="D163" s="7">
        <f>YEAR(Raw_Data!B163)</f>
        <v>2024</v>
      </c>
      <c r="E163" s="9" t="str">
        <f>Raw_Data!C163</f>
        <v>Sanjay Patel</v>
      </c>
      <c r="F163" s="7" t="str">
        <f>Raw_Data!D163</f>
        <v>Pune</v>
      </c>
      <c r="G163" s="9" t="str">
        <f>Raw_Data!E163</f>
        <v>Betadine Cream</v>
      </c>
      <c r="H163" s="7" t="str">
        <f>Raw_Data!F163</f>
        <v>Cream</v>
      </c>
      <c r="I163" s="7">
        <f>Raw_Data!G163</f>
        <v>20</v>
      </c>
      <c r="J163" s="10">
        <f>Raw_Data!H163</f>
        <v>85</v>
      </c>
      <c r="K163" s="10">
        <f>Raw_Data!I163</f>
        <v>39.950000000000003</v>
      </c>
      <c r="L163" s="10">
        <f>Raw_Data!J163</f>
        <v>1700</v>
      </c>
      <c r="M163" s="11">
        <f>Raw_Data!K163</f>
        <v>15</v>
      </c>
      <c r="N163" s="10">
        <f>Raw_Data!L163</f>
        <v>1445</v>
      </c>
      <c r="O163" s="10">
        <f t="shared" si="4"/>
        <v>901</v>
      </c>
      <c r="P163" s="14">
        <f t="shared" si="5"/>
        <v>0.53</v>
      </c>
      <c r="Q163" s="7" t="str">
        <f>Raw_Data!M163</f>
        <v>UPI</v>
      </c>
      <c r="R163" s="7" t="str">
        <f>Raw_Data!N163</f>
        <v>No</v>
      </c>
    </row>
    <row r="164" spans="1:18" x14ac:dyDescent="0.25">
      <c r="A164" s="2" t="str">
        <f>Raw_Data!A164</f>
        <v>ORD-0163</v>
      </c>
      <c r="B164" s="3">
        <f>Raw_Data!B164</f>
        <v>45467</v>
      </c>
      <c r="C164" s="2" t="str">
        <f>TEXT(Raw_Data!B164,"MMM")</f>
        <v>Jun</v>
      </c>
      <c r="D164" s="2">
        <f>YEAR(Raw_Data!B164)</f>
        <v>2024</v>
      </c>
      <c r="E164" s="4" t="str">
        <f>Raw_Data!C164</f>
        <v>Sanjay Verma</v>
      </c>
      <c r="F164" s="2" t="str">
        <f>Raw_Data!D164</f>
        <v>Jaipur</v>
      </c>
      <c r="G164" s="4" t="str">
        <f>Raw_Data!E164</f>
        <v>Betadine Cream</v>
      </c>
      <c r="H164" s="2" t="str">
        <f>Raw_Data!F164</f>
        <v>Cream</v>
      </c>
      <c r="I164" s="2">
        <f>Raw_Data!G164</f>
        <v>6</v>
      </c>
      <c r="J164" s="5">
        <f>Raw_Data!H164</f>
        <v>85</v>
      </c>
      <c r="K164" s="5">
        <f>Raw_Data!I164</f>
        <v>39.950000000000003</v>
      </c>
      <c r="L164" s="5">
        <f>Raw_Data!J164</f>
        <v>510</v>
      </c>
      <c r="M164" s="6">
        <f>Raw_Data!K164</f>
        <v>0</v>
      </c>
      <c r="N164" s="5">
        <f>Raw_Data!L164</f>
        <v>510</v>
      </c>
      <c r="O164" s="5">
        <f t="shared" si="4"/>
        <v>270.29999999999995</v>
      </c>
      <c r="P164" s="13">
        <f t="shared" si="5"/>
        <v>0.52999999999999992</v>
      </c>
      <c r="Q164" s="2" t="str">
        <f>Raw_Data!M164</f>
        <v>Card</v>
      </c>
      <c r="R164" s="2" t="str">
        <f>Raw_Data!N164</f>
        <v>Yes</v>
      </c>
    </row>
    <row r="165" spans="1:18" x14ac:dyDescent="0.25">
      <c r="A165" s="7" t="str">
        <f>Raw_Data!A165</f>
        <v>ORD-0164</v>
      </c>
      <c r="B165" s="8">
        <f>Raw_Data!B165</f>
        <v>45559</v>
      </c>
      <c r="C165" s="7" t="str">
        <f>TEXT(Raw_Data!B165,"MMM")</f>
        <v>Sep</v>
      </c>
      <c r="D165" s="7">
        <f>YEAR(Raw_Data!B165)</f>
        <v>2024</v>
      </c>
      <c r="E165" s="9" t="str">
        <f>Raw_Data!C165</f>
        <v>Nisha Sharma</v>
      </c>
      <c r="F165" s="7" t="str">
        <f>Raw_Data!D165</f>
        <v>Pune</v>
      </c>
      <c r="G165" s="9" t="str">
        <f>Raw_Data!E165</f>
        <v>Otrivin Nasal Drops</v>
      </c>
      <c r="H165" s="7" t="str">
        <f>Raw_Data!F165</f>
        <v>Drops</v>
      </c>
      <c r="I165" s="7">
        <f>Raw_Data!G165</f>
        <v>12</v>
      </c>
      <c r="J165" s="10">
        <f>Raw_Data!H165</f>
        <v>95</v>
      </c>
      <c r="K165" s="10">
        <f>Raw_Data!I165</f>
        <v>42.75</v>
      </c>
      <c r="L165" s="10">
        <f>Raw_Data!J165</f>
        <v>1140</v>
      </c>
      <c r="M165" s="11">
        <f>Raw_Data!K165</f>
        <v>5</v>
      </c>
      <c r="N165" s="10">
        <f>Raw_Data!L165</f>
        <v>1083</v>
      </c>
      <c r="O165" s="10">
        <f t="shared" si="4"/>
        <v>627</v>
      </c>
      <c r="P165" s="14">
        <f t="shared" si="5"/>
        <v>0.55000000000000004</v>
      </c>
      <c r="Q165" s="7" t="str">
        <f>Raw_Data!M165</f>
        <v>UPI</v>
      </c>
      <c r="R165" s="7" t="str">
        <f>Raw_Data!N165</f>
        <v>Yes</v>
      </c>
    </row>
    <row r="166" spans="1:18" x14ac:dyDescent="0.25">
      <c r="A166" s="2" t="str">
        <f>Raw_Data!A166</f>
        <v>ORD-0165</v>
      </c>
      <c r="B166" s="3">
        <f>Raw_Data!B166</f>
        <v>45615</v>
      </c>
      <c r="C166" s="2" t="str">
        <f>TEXT(Raw_Data!B166,"MMM")</f>
        <v>Nov</v>
      </c>
      <c r="D166" s="2">
        <f>YEAR(Raw_Data!B166)</f>
        <v>2024</v>
      </c>
      <c r="E166" s="4" t="str">
        <f>Raw_Data!C166</f>
        <v>Suresh Tiwari</v>
      </c>
      <c r="F166" s="2" t="str">
        <f>Raw_Data!D166</f>
        <v>Delhi</v>
      </c>
      <c r="G166" s="4" t="str">
        <f>Raw_Data!E166</f>
        <v>Candid Cream</v>
      </c>
      <c r="H166" s="2" t="str">
        <f>Raw_Data!F166</f>
        <v>Cream</v>
      </c>
      <c r="I166" s="2">
        <f>Raw_Data!G166</f>
        <v>11</v>
      </c>
      <c r="J166" s="5">
        <f>Raw_Data!H166</f>
        <v>65</v>
      </c>
      <c r="K166" s="5">
        <f>Raw_Data!I166</f>
        <v>30.55</v>
      </c>
      <c r="L166" s="5">
        <f>Raw_Data!J166</f>
        <v>715</v>
      </c>
      <c r="M166" s="6">
        <f>Raw_Data!K166</f>
        <v>0</v>
      </c>
      <c r="N166" s="5">
        <f>Raw_Data!L166</f>
        <v>715</v>
      </c>
      <c r="O166" s="5">
        <f t="shared" si="4"/>
        <v>378.95</v>
      </c>
      <c r="P166" s="13">
        <f t="shared" si="5"/>
        <v>0.53</v>
      </c>
      <c r="Q166" s="2" t="str">
        <f>Raw_Data!M166</f>
        <v>Card</v>
      </c>
      <c r="R166" s="2" t="str">
        <f>Raw_Data!N166</f>
        <v>No</v>
      </c>
    </row>
    <row r="167" spans="1:18" x14ac:dyDescent="0.25">
      <c r="A167" s="7" t="str">
        <f>Raw_Data!A167</f>
        <v>ORD-0166</v>
      </c>
      <c r="B167" s="8">
        <f>Raw_Data!B167</f>
        <v>45628</v>
      </c>
      <c r="C167" s="7" t="str">
        <f>TEXT(Raw_Data!B167,"MMM")</f>
        <v>Dec</v>
      </c>
      <c r="D167" s="7">
        <f>YEAR(Raw_Data!B167)</f>
        <v>2024</v>
      </c>
      <c r="E167" s="9" t="str">
        <f>Raw_Data!C167</f>
        <v>Nikhil Gupta</v>
      </c>
      <c r="F167" s="7" t="str">
        <f>Raw_Data!D167</f>
        <v>Pune</v>
      </c>
      <c r="G167" s="9" t="str">
        <f>Raw_Data!E167</f>
        <v>Otrivin Nasal Drops</v>
      </c>
      <c r="H167" s="7" t="str">
        <f>Raw_Data!F167</f>
        <v>Drops</v>
      </c>
      <c r="I167" s="7">
        <f>Raw_Data!G167</f>
        <v>3</v>
      </c>
      <c r="J167" s="10">
        <f>Raw_Data!H167</f>
        <v>95</v>
      </c>
      <c r="K167" s="10">
        <f>Raw_Data!I167</f>
        <v>42.75</v>
      </c>
      <c r="L167" s="10">
        <f>Raw_Data!J167</f>
        <v>285</v>
      </c>
      <c r="M167" s="11">
        <f>Raw_Data!K167</f>
        <v>0</v>
      </c>
      <c r="N167" s="10">
        <f>Raw_Data!L167</f>
        <v>285</v>
      </c>
      <c r="O167" s="10">
        <f t="shared" si="4"/>
        <v>156.75</v>
      </c>
      <c r="P167" s="14">
        <f t="shared" si="5"/>
        <v>0.55000000000000004</v>
      </c>
      <c r="Q167" s="7" t="str">
        <f>Raw_Data!M167</f>
        <v>Card</v>
      </c>
      <c r="R167" s="7" t="str">
        <f>Raw_Data!N167</f>
        <v>No</v>
      </c>
    </row>
    <row r="168" spans="1:18" x14ac:dyDescent="0.25">
      <c r="A168" s="2" t="str">
        <f>Raw_Data!A168</f>
        <v>ORD-0167</v>
      </c>
      <c r="B168" s="3">
        <f>Raw_Data!B168</f>
        <v>45596</v>
      </c>
      <c r="C168" s="2" t="str">
        <f>TEXT(Raw_Data!B168,"MMM")</f>
        <v>Oct</v>
      </c>
      <c r="D168" s="2">
        <f>YEAR(Raw_Data!B168)</f>
        <v>2024</v>
      </c>
      <c r="E168" s="4" t="str">
        <f>Raw_Data!C168</f>
        <v>Vikram Agarwal</v>
      </c>
      <c r="F168" s="2" t="str">
        <f>Raw_Data!D168</f>
        <v>Chennai</v>
      </c>
      <c r="G168" s="4" t="str">
        <f>Raw_Data!E168</f>
        <v>Betadine Cream</v>
      </c>
      <c r="H168" s="2" t="str">
        <f>Raw_Data!F168</f>
        <v>Cream</v>
      </c>
      <c r="I168" s="2">
        <f>Raw_Data!G168</f>
        <v>18</v>
      </c>
      <c r="J168" s="5">
        <f>Raw_Data!H168</f>
        <v>85</v>
      </c>
      <c r="K168" s="5">
        <f>Raw_Data!I168</f>
        <v>39.950000000000003</v>
      </c>
      <c r="L168" s="5">
        <f>Raw_Data!J168</f>
        <v>1530</v>
      </c>
      <c r="M168" s="6">
        <f>Raw_Data!K168</f>
        <v>10</v>
      </c>
      <c r="N168" s="5">
        <f>Raw_Data!L168</f>
        <v>1377</v>
      </c>
      <c r="O168" s="5">
        <f t="shared" si="4"/>
        <v>810.9</v>
      </c>
      <c r="P168" s="13">
        <f t="shared" si="5"/>
        <v>0.53</v>
      </c>
      <c r="Q168" s="2" t="str">
        <f>Raw_Data!M168</f>
        <v>Card</v>
      </c>
      <c r="R168" s="2" t="str">
        <f>Raw_Data!N168</f>
        <v>No</v>
      </c>
    </row>
    <row r="169" spans="1:18" x14ac:dyDescent="0.25">
      <c r="A169" s="7" t="str">
        <f>Raw_Data!A169</f>
        <v>ORD-0168</v>
      </c>
      <c r="B169" s="8">
        <f>Raw_Data!B169</f>
        <v>45651</v>
      </c>
      <c r="C169" s="7" t="str">
        <f>TEXT(Raw_Data!B169,"MMM")</f>
        <v>Dec</v>
      </c>
      <c r="D169" s="7">
        <f>YEAR(Raw_Data!B169)</f>
        <v>2024</v>
      </c>
      <c r="E169" s="9" t="str">
        <f>Raw_Data!C169</f>
        <v>Kavita Gupta</v>
      </c>
      <c r="F169" s="7" t="str">
        <f>Raw_Data!D169</f>
        <v>Jaipur</v>
      </c>
      <c r="G169" s="9" t="str">
        <f>Raw_Data!E169</f>
        <v>Antifungal Powder</v>
      </c>
      <c r="H169" s="7" t="str">
        <f>Raw_Data!F169</f>
        <v>Powder</v>
      </c>
      <c r="I169" s="7">
        <f>Raw_Data!G169</f>
        <v>3</v>
      </c>
      <c r="J169" s="10">
        <f>Raw_Data!H169</f>
        <v>55</v>
      </c>
      <c r="K169" s="10">
        <f>Raw_Data!I169</f>
        <v>30.25</v>
      </c>
      <c r="L169" s="10">
        <f>Raw_Data!J169</f>
        <v>165</v>
      </c>
      <c r="M169" s="11">
        <f>Raw_Data!K169</f>
        <v>10</v>
      </c>
      <c r="N169" s="10">
        <f>Raw_Data!L169</f>
        <v>148.5</v>
      </c>
      <c r="O169" s="10">
        <f t="shared" si="4"/>
        <v>74.25</v>
      </c>
      <c r="P169" s="14">
        <f t="shared" si="5"/>
        <v>0.45</v>
      </c>
      <c r="Q169" s="7" t="str">
        <f>Raw_Data!M169</f>
        <v>Cash</v>
      </c>
      <c r="R169" s="7" t="str">
        <f>Raw_Data!N169</f>
        <v>No</v>
      </c>
    </row>
    <row r="170" spans="1:18" x14ac:dyDescent="0.25">
      <c r="A170" s="2" t="str">
        <f>Raw_Data!A170</f>
        <v>ORD-0169</v>
      </c>
      <c r="B170" s="3">
        <f>Raw_Data!B170</f>
        <v>45401</v>
      </c>
      <c r="C170" s="2" t="str">
        <f>TEXT(Raw_Data!B170,"MMM")</f>
        <v>Apr</v>
      </c>
      <c r="D170" s="2">
        <f>YEAR(Raw_Data!B170)</f>
        <v>2024</v>
      </c>
      <c r="E170" s="4" t="str">
        <f>Raw_Data!C170</f>
        <v>Sunita Verma</v>
      </c>
      <c r="F170" s="2" t="str">
        <f>Raw_Data!D170</f>
        <v>Hyderabad</v>
      </c>
      <c r="G170" s="4" t="str">
        <f>Raw_Data!E170</f>
        <v>Vitamin B12 Inj</v>
      </c>
      <c r="H170" s="2" t="str">
        <f>Raw_Data!F170</f>
        <v>Injection</v>
      </c>
      <c r="I170" s="2">
        <f>Raw_Data!G170</f>
        <v>8</v>
      </c>
      <c r="J170" s="5">
        <f>Raw_Data!H170</f>
        <v>60</v>
      </c>
      <c r="K170" s="5">
        <f>Raw_Data!I170</f>
        <v>36</v>
      </c>
      <c r="L170" s="5">
        <f>Raw_Data!J170</f>
        <v>480</v>
      </c>
      <c r="M170" s="6">
        <f>Raw_Data!K170</f>
        <v>0</v>
      </c>
      <c r="N170" s="5">
        <f>Raw_Data!L170</f>
        <v>480</v>
      </c>
      <c r="O170" s="5">
        <f t="shared" si="4"/>
        <v>192</v>
      </c>
      <c r="P170" s="13">
        <f t="shared" si="5"/>
        <v>0.4</v>
      </c>
      <c r="Q170" s="2" t="str">
        <f>Raw_Data!M170</f>
        <v>Cash</v>
      </c>
      <c r="R170" s="2" t="str">
        <f>Raw_Data!N170</f>
        <v>Yes</v>
      </c>
    </row>
    <row r="171" spans="1:18" x14ac:dyDescent="0.25">
      <c r="A171" s="7" t="str">
        <f>Raw_Data!A171</f>
        <v>ORD-0170</v>
      </c>
      <c r="B171" s="8">
        <f>Raw_Data!B171</f>
        <v>45568</v>
      </c>
      <c r="C171" s="7" t="str">
        <f>TEXT(Raw_Data!B171,"MMM")</f>
        <v>Oct</v>
      </c>
      <c r="D171" s="7">
        <f>YEAR(Raw_Data!B171)</f>
        <v>2024</v>
      </c>
      <c r="E171" s="9" t="str">
        <f>Raw_Data!C171</f>
        <v>Nisha Mehta</v>
      </c>
      <c r="F171" s="7" t="str">
        <f>Raw_Data!D171</f>
        <v>Jaipur</v>
      </c>
      <c r="G171" s="9" t="str">
        <f>Raw_Data!E171</f>
        <v>Antifungal Powder</v>
      </c>
      <c r="H171" s="7" t="str">
        <f>Raw_Data!F171</f>
        <v>Powder</v>
      </c>
      <c r="I171" s="7">
        <f>Raw_Data!G171</f>
        <v>2</v>
      </c>
      <c r="J171" s="10">
        <f>Raw_Data!H171</f>
        <v>55</v>
      </c>
      <c r="K171" s="10">
        <f>Raw_Data!I171</f>
        <v>30.25</v>
      </c>
      <c r="L171" s="10">
        <f>Raw_Data!J171</f>
        <v>110</v>
      </c>
      <c r="M171" s="11">
        <f>Raw_Data!K171</f>
        <v>10</v>
      </c>
      <c r="N171" s="10">
        <f>Raw_Data!L171</f>
        <v>99</v>
      </c>
      <c r="O171" s="10">
        <f t="shared" si="4"/>
        <v>49.5</v>
      </c>
      <c r="P171" s="14">
        <f t="shared" si="5"/>
        <v>0.45</v>
      </c>
      <c r="Q171" s="7" t="str">
        <f>Raw_Data!M171</f>
        <v>UPI</v>
      </c>
      <c r="R171" s="7" t="str">
        <f>Raw_Data!N171</f>
        <v>No</v>
      </c>
    </row>
    <row r="172" spans="1:18" x14ac:dyDescent="0.25">
      <c r="A172" s="2" t="str">
        <f>Raw_Data!A172</f>
        <v>ORD-0171</v>
      </c>
      <c r="B172" s="3">
        <f>Raw_Data!B172</f>
        <v>45370</v>
      </c>
      <c r="C172" s="2" t="str">
        <f>TEXT(Raw_Data!B172,"MMM")</f>
        <v>Mar</v>
      </c>
      <c r="D172" s="2">
        <f>YEAR(Raw_Data!B172)</f>
        <v>2024</v>
      </c>
      <c r="E172" s="4" t="str">
        <f>Raw_Data!C172</f>
        <v>Deepa Shah</v>
      </c>
      <c r="F172" s="2" t="str">
        <f>Raw_Data!D172</f>
        <v>Surat</v>
      </c>
      <c r="G172" s="4" t="str">
        <f>Raw_Data!E172</f>
        <v>Ambroxol Syrup</v>
      </c>
      <c r="H172" s="2" t="str">
        <f>Raw_Data!F172</f>
        <v>Syrup</v>
      </c>
      <c r="I172" s="2">
        <f>Raw_Data!G172</f>
        <v>6</v>
      </c>
      <c r="J172" s="5">
        <f>Raw_Data!H172</f>
        <v>65</v>
      </c>
      <c r="K172" s="5">
        <f>Raw_Data!I172</f>
        <v>31.2</v>
      </c>
      <c r="L172" s="5">
        <f>Raw_Data!J172</f>
        <v>390</v>
      </c>
      <c r="M172" s="6">
        <f>Raw_Data!K172</f>
        <v>15</v>
      </c>
      <c r="N172" s="5">
        <f>Raw_Data!L172</f>
        <v>331.5</v>
      </c>
      <c r="O172" s="5">
        <f t="shared" si="4"/>
        <v>202.8</v>
      </c>
      <c r="P172" s="13">
        <f t="shared" si="5"/>
        <v>0.52</v>
      </c>
      <c r="Q172" s="2" t="str">
        <f>Raw_Data!M172</f>
        <v>Card</v>
      </c>
      <c r="R172" s="2" t="str">
        <f>Raw_Data!N172</f>
        <v>Yes</v>
      </c>
    </row>
    <row r="173" spans="1:18" x14ac:dyDescent="0.25">
      <c r="A173" s="7" t="str">
        <f>Raw_Data!A173</f>
        <v>ORD-0172</v>
      </c>
      <c r="B173" s="8">
        <f>Raw_Data!B173</f>
        <v>45604</v>
      </c>
      <c r="C173" s="7" t="str">
        <f>TEXT(Raw_Data!B173,"MMM")</f>
        <v>Nov</v>
      </c>
      <c r="D173" s="7">
        <f>YEAR(Raw_Data!B173)</f>
        <v>2024</v>
      </c>
      <c r="E173" s="9" t="str">
        <f>Raw_Data!C173</f>
        <v>Rekha Nair</v>
      </c>
      <c r="F173" s="7" t="str">
        <f>Raw_Data!D173</f>
        <v>Hyderabad</v>
      </c>
      <c r="G173" s="9" t="str">
        <f>Raw_Data!E173</f>
        <v>Vitamin B12 Inj</v>
      </c>
      <c r="H173" s="7" t="str">
        <f>Raw_Data!F173</f>
        <v>Injection</v>
      </c>
      <c r="I173" s="7">
        <f>Raw_Data!G173</f>
        <v>18</v>
      </c>
      <c r="J173" s="10">
        <f>Raw_Data!H173</f>
        <v>60</v>
      </c>
      <c r="K173" s="10">
        <f>Raw_Data!I173</f>
        <v>36</v>
      </c>
      <c r="L173" s="10">
        <f>Raw_Data!J173</f>
        <v>1080</v>
      </c>
      <c r="M173" s="11">
        <f>Raw_Data!K173</f>
        <v>5</v>
      </c>
      <c r="N173" s="10">
        <f>Raw_Data!L173</f>
        <v>1026</v>
      </c>
      <c r="O173" s="10">
        <f t="shared" si="4"/>
        <v>432</v>
      </c>
      <c r="P173" s="14">
        <f t="shared" si="5"/>
        <v>0.4</v>
      </c>
      <c r="Q173" s="7" t="str">
        <f>Raw_Data!M173</f>
        <v>UPI</v>
      </c>
      <c r="R173" s="7" t="str">
        <f>Raw_Data!N173</f>
        <v>Yes</v>
      </c>
    </row>
    <row r="174" spans="1:18" x14ac:dyDescent="0.25">
      <c r="A174" s="2" t="str">
        <f>Raw_Data!A174</f>
        <v>ORD-0173</v>
      </c>
      <c r="B174" s="3">
        <f>Raw_Data!B174</f>
        <v>45391</v>
      </c>
      <c r="C174" s="2" t="str">
        <f>TEXT(Raw_Data!B174,"MMM")</f>
        <v>Apr</v>
      </c>
      <c r="D174" s="2">
        <f>YEAR(Raw_Data!B174)</f>
        <v>2024</v>
      </c>
      <c r="E174" s="4" t="str">
        <f>Raw_Data!C174</f>
        <v>Anjali Mishra</v>
      </c>
      <c r="F174" s="2" t="str">
        <f>Raw_Data!D174</f>
        <v>Ahmedabad</v>
      </c>
      <c r="G174" s="4" t="str">
        <f>Raw_Data!E174</f>
        <v>Vitamin B12 Inj</v>
      </c>
      <c r="H174" s="2" t="str">
        <f>Raw_Data!F174</f>
        <v>Injection</v>
      </c>
      <c r="I174" s="2">
        <f>Raw_Data!G174</f>
        <v>10</v>
      </c>
      <c r="J174" s="5">
        <f>Raw_Data!H174</f>
        <v>60</v>
      </c>
      <c r="K174" s="5">
        <f>Raw_Data!I174</f>
        <v>36</v>
      </c>
      <c r="L174" s="5">
        <f>Raw_Data!J174</f>
        <v>600</v>
      </c>
      <c r="M174" s="6">
        <f>Raw_Data!K174</f>
        <v>10</v>
      </c>
      <c r="N174" s="5">
        <f>Raw_Data!L174</f>
        <v>540</v>
      </c>
      <c r="O174" s="5">
        <f t="shared" si="4"/>
        <v>240</v>
      </c>
      <c r="P174" s="13">
        <f t="shared" si="5"/>
        <v>0.4</v>
      </c>
      <c r="Q174" s="2" t="str">
        <f>Raw_Data!M174</f>
        <v>Card</v>
      </c>
      <c r="R174" s="2" t="str">
        <f>Raw_Data!N174</f>
        <v>Yes</v>
      </c>
    </row>
    <row r="175" spans="1:18" x14ac:dyDescent="0.25">
      <c r="A175" s="7" t="str">
        <f>Raw_Data!A175</f>
        <v>ORD-0174</v>
      </c>
      <c r="B175" s="8">
        <f>Raw_Data!B175</f>
        <v>45394</v>
      </c>
      <c r="C175" s="7" t="str">
        <f>TEXT(Raw_Data!B175,"MMM")</f>
        <v>Apr</v>
      </c>
      <c r="D175" s="7">
        <f>YEAR(Raw_Data!B175)</f>
        <v>2024</v>
      </c>
      <c r="E175" s="9" t="str">
        <f>Raw_Data!C175</f>
        <v>Swati Nair</v>
      </c>
      <c r="F175" s="7" t="str">
        <f>Raw_Data!D175</f>
        <v>Bangalore</v>
      </c>
      <c r="G175" s="9" t="str">
        <f>Raw_Data!E175</f>
        <v>Antifungal Powder</v>
      </c>
      <c r="H175" s="7" t="str">
        <f>Raw_Data!F175</f>
        <v>Powder</v>
      </c>
      <c r="I175" s="7">
        <f>Raw_Data!G175</f>
        <v>9</v>
      </c>
      <c r="J175" s="10">
        <f>Raw_Data!H175</f>
        <v>55</v>
      </c>
      <c r="K175" s="10">
        <f>Raw_Data!I175</f>
        <v>30.25</v>
      </c>
      <c r="L175" s="10">
        <f>Raw_Data!J175</f>
        <v>495</v>
      </c>
      <c r="M175" s="11">
        <f>Raw_Data!K175</f>
        <v>0</v>
      </c>
      <c r="N175" s="10">
        <f>Raw_Data!L175</f>
        <v>495</v>
      </c>
      <c r="O175" s="10">
        <f t="shared" si="4"/>
        <v>222.75</v>
      </c>
      <c r="P175" s="14">
        <f t="shared" si="5"/>
        <v>0.45</v>
      </c>
      <c r="Q175" s="7" t="str">
        <f>Raw_Data!M175</f>
        <v>UPI</v>
      </c>
      <c r="R175" s="7" t="str">
        <f>Raw_Data!N175</f>
        <v>No</v>
      </c>
    </row>
    <row r="176" spans="1:18" x14ac:dyDescent="0.25">
      <c r="A176" s="2" t="str">
        <f>Raw_Data!A176</f>
        <v>ORD-0175</v>
      </c>
      <c r="B176" s="3">
        <f>Raw_Data!B176</f>
        <v>45344</v>
      </c>
      <c r="C176" s="2" t="str">
        <f>TEXT(Raw_Data!B176,"MMM")</f>
        <v>Feb</v>
      </c>
      <c r="D176" s="2">
        <f>YEAR(Raw_Data!B176)</f>
        <v>2024</v>
      </c>
      <c r="E176" s="4" t="str">
        <f>Raw_Data!C176</f>
        <v>Manish Gupta</v>
      </c>
      <c r="F176" s="2" t="str">
        <f>Raw_Data!D176</f>
        <v>Delhi</v>
      </c>
      <c r="G176" s="4" t="str">
        <f>Raw_Data!E176</f>
        <v>Soframycin Cream</v>
      </c>
      <c r="H176" s="2" t="str">
        <f>Raw_Data!F176</f>
        <v>Cream</v>
      </c>
      <c r="I176" s="2">
        <f>Raw_Data!G176</f>
        <v>10</v>
      </c>
      <c r="J176" s="5">
        <f>Raw_Data!H176</f>
        <v>72</v>
      </c>
      <c r="K176" s="5">
        <f>Raw_Data!I176</f>
        <v>33.840000000000003</v>
      </c>
      <c r="L176" s="5">
        <f>Raw_Data!J176</f>
        <v>720</v>
      </c>
      <c r="M176" s="6">
        <f>Raw_Data!K176</f>
        <v>0</v>
      </c>
      <c r="N176" s="5">
        <f>Raw_Data!L176</f>
        <v>720</v>
      </c>
      <c r="O176" s="5">
        <f t="shared" si="4"/>
        <v>381.59999999999997</v>
      </c>
      <c r="P176" s="13">
        <f t="shared" si="5"/>
        <v>0.52999999999999992</v>
      </c>
      <c r="Q176" s="2" t="str">
        <f>Raw_Data!M176</f>
        <v>Cash</v>
      </c>
      <c r="R176" s="2" t="str">
        <f>Raw_Data!N176</f>
        <v>No</v>
      </c>
    </row>
    <row r="177" spans="1:18" x14ac:dyDescent="0.25">
      <c r="A177" s="7" t="str">
        <f>Raw_Data!A177</f>
        <v>ORD-0176</v>
      </c>
      <c r="B177" s="8">
        <f>Raw_Data!B177</f>
        <v>45515</v>
      </c>
      <c r="C177" s="7" t="str">
        <f>TEXT(Raw_Data!B177,"MMM")</f>
        <v>Aug</v>
      </c>
      <c r="D177" s="7">
        <f>YEAR(Raw_Data!B177)</f>
        <v>2024</v>
      </c>
      <c r="E177" s="9" t="str">
        <f>Raw_Data!C177</f>
        <v>Meera Singh</v>
      </c>
      <c r="F177" s="7" t="str">
        <f>Raw_Data!D177</f>
        <v>Ahmedabad</v>
      </c>
      <c r="G177" s="9" t="str">
        <f>Raw_Data!E177</f>
        <v>Atorvastatin 10mg</v>
      </c>
      <c r="H177" s="7" t="str">
        <f>Raw_Data!F177</f>
        <v>Tablet</v>
      </c>
      <c r="I177" s="7">
        <f>Raw_Data!G177</f>
        <v>12</v>
      </c>
      <c r="J177" s="10">
        <f>Raw_Data!H177</f>
        <v>120</v>
      </c>
      <c r="K177" s="10">
        <f>Raw_Data!I177</f>
        <v>62.4</v>
      </c>
      <c r="L177" s="10">
        <f>Raw_Data!J177</f>
        <v>1440</v>
      </c>
      <c r="M177" s="11">
        <f>Raw_Data!K177</f>
        <v>0</v>
      </c>
      <c r="N177" s="10">
        <f>Raw_Data!L177</f>
        <v>1440</v>
      </c>
      <c r="O177" s="10">
        <f t="shared" si="4"/>
        <v>691.2</v>
      </c>
      <c r="P177" s="14">
        <f t="shared" si="5"/>
        <v>0.48000000000000004</v>
      </c>
      <c r="Q177" s="7" t="str">
        <f>Raw_Data!M177</f>
        <v>Card</v>
      </c>
      <c r="R177" s="7" t="str">
        <f>Raw_Data!N177</f>
        <v>Yes</v>
      </c>
    </row>
    <row r="178" spans="1:18" x14ac:dyDescent="0.25">
      <c r="A178" s="2" t="str">
        <f>Raw_Data!A178</f>
        <v>ORD-0177</v>
      </c>
      <c r="B178" s="3">
        <f>Raw_Data!B178</f>
        <v>45489</v>
      </c>
      <c r="C178" s="2" t="str">
        <f>TEXT(Raw_Data!B178,"MMM")</f>
        <v>Jul</v>
      </c>
      <c r="D178" s="2">
        <f>YEAR(Raw_Data!B178)</f>
        <v>2024</v>
      </c>
      <c r="E178" s="4" t="str">
        <f>Raw_Data!C178</f>
        <v>Arjun Dubey</v>
      </c>
      <c r="F178" s="2" t="str">
        <f>Raw_Data!D178</f>
        <v>Hyderabad</v>
      </c>
      <c r="G178" s="4" t="str">
        <f>Raw_Data!E178</f>
        <v>Ibuprofen 400mg</v>
      </c>
      <c r="H178" s="2" t="str">
        <f>Raw_Data!F178</f>
        <v>Tablet</v>
      </c>
      <c r="I178" s="2">
        <f>Raw_Data!G178</f>
        <v>1</v>
      </c>
      <c r="J178" s="5">
        <f>Raw_Data!H178</f>
        <v>30</v>
      </c>
      <c r="K178" s="5">
        <f>Raw_Data!I178</f>
        <v>15.6</v>
      </c>
      <c r="L178" s="5">
        <f>Raw_Data!J178</f>
        <v>30</v>
      </c>
      <c r="M178" s="6">
        <f>Raw_Data!K178</f>
        <v>10</v>
      </c>
      <c r="N178" s="5">
        <f>Raw_Data!L178</f>
        <v>27</v>
      </c>
      <c r="O178" s="5">
        <f t="shared" si="4"/>
        <v>14.4</v>
      </c>
      <c r="P178" s="13">
        <f t="shared" si="5"/>
        <v>0.48000000000000004</v>
      </c>
      <c r="Q178" s="2" t="str">
        <f>Raw_Data!M178</f>
        <v>UPI</v>
      </c>
      <c r="R178" s="2" t="str">
        <f>Raw_Data!N178</f>
        <v>No</v>
      </c>
    </row>
    <row r="179" spans="1:18" x14ac:dyDescent="0.25">
      <c r="A179" s="7" t="str">
        <f>Raw_Data!A179</f>
        <v>ORD-0178</v>
      </c>
      <c r="B179" s="8">
        <f>Raw_Data!B179</f>
        <v>45366</v>
      </c>
      <c r="C179" s="7" t="str">
        <f>TEXT(Raw_Data!B179,"MMM")</f>
        <v>Mar</v>
      </c>
      <c r="D179" s="7">
        <f>YEAR(Raw_Data!B179)</f>
        <v>2024</v>
      </c>
      <c r="E179" s="9" t="str">
        <f>Raw_Data!C179</f>
        <v>Nisha Sharma</v>
      </c>
      <c r="F179" s="7" t="str">
        <f>Raw_Data!D179</f>
        <v>Chennai</v>
      </c>
      <c r="G179" s="9" t="str">
        <f>Raw_Data!E179</f>
        <v>Benadryl Cough Syrup</v>
      </c>
      <c r="H179" s="7" t="str">
        <f>Raw_Data!F179</f>
        <v>Syrup</v>
      </c>
      <c r="I179" s="7">
        <f>Raw_Data!G179</f>
        <v>16</v>
      </c>
      <c r="J179" s="10">
        <f>Raw_Data!H179</f>
        <v>110</v>
      </c>
      <c r="K179" s="10">
        <f>Raw_Data!I179</f>
        <v>52.8</v>
      </c>
      <c r="L179" s="10">
        <f>Raw_Data!J179</f>
        <v>1760</v>
      </c>
      <c r="M179" s="11">
        <f>Raw_Data!K179</f>
        <v>0</v>
      </c>
      <c r="N179" s="10">
        <f>Raw_Data!L179</f>
        <v>1760</v>
      </c>
      <c r="O179" s="10">
        <f t="shared" si="4"/>
        <v>915.2</v>
      </c>
      <c r="P179" s="14">
        <f t="shared" si="5"/>
        <v>0.52</v>
      </c>
      <c r="Q179" s="7" t="str">
        <f>Raw_Data!M179</f>
        <v>Card</v>
      </c>
      <c r="R179" s="7" t="str">
        <f>Raw_Data!N179</f>
        <v>No</v>
      </c>
    </row>
    <row r="180" spans="1:18" x14ac:dyDescent="0.25">
      <c r="A180" s="2" t="str">
        <f>Raw_Data!A180</f>
        <v>ORD-0179</v>
      </c>
      <c r="B180" s="3">
        <f>Raw_Data!B180</f>
        <v>45332</v>
      </c>
      <c r="C180" s="2" t="str">
        <f>TEXT(Raw_Data!B180,"MMM")</f>
        <v>Feb</v>
      </c>
      <c r="D180" s="2">
        <f>YEAR(Raw_Data!B180)</f>
        <v>2024</v>
      </c>
      <c r="E180" s="4" t="str">
        <f>Raw_Data!C180</f>
        <v>Pooja Patel</v>
      </c>
      <c r="F180" s="2" t="str">
        <f>Raw_Data!D180</f>
        <v>Hyderabad</v>
      </c>
      <c r="G180" s="4" t="str">
        <f>Raw_Data!E180</f>
        <v>Cetirizine 10mg</v>
      </c>
      <c r="H180" s="2" t="str">
        <f>Raw_Data!F180</f>
        <v>Tablet</v>
      </c>
      <c r="I180" s="2">
        <f>Raw_Data!G180</f>
        <v>5</v>
      </c>
      <c r="J180" s="5">
        <f>Raw_Data!H180</f>
        <v>35</v>
      </c>
      <c r="K180" s="5">
        <f>Raw_Data!I180</f>
        <v>18.2</v>
      </c>
      <c r="L180" s="5">
        <f>Raw_Data!J180</f>
        <v>175</v>
      </c>
      <c r="M180" s="6">
        <f>Raw_Data!K180</f>
        <v>20</v>
      </c>
      <c r="N180" s="5">
        <f>Raw_Data!L180</f>
        <v>140</v>
      </c>
      <c r="O180" s="5">
        <f t="shared" si="4"/>
        <v>84</v>
      </c>
      <c r="P180" s="13">
        <f t="shared" si="5"/>
        <v>0.48</v>
      </c>
      <c r="Q180" s="2" t="str">
        <f>Raw_Data!M180</f>
        <v>UPI</v>
      </c>
      <c r="R180" s="2" t="str">
        <f>Raw_Data!N180</f>
        <v>No</v>
      </c>
    </row>
    <row r="181" spans="1:18" x14ac:dyDescent="0.25">
      <c r="A181" s="7" t="str">
        <f>Raw_Data!A181</f>
        <v>ORD-0180</v>
      </c>
      <c r="B181" s="8">
        <f>Raw_Data!B181</f>
        <v>45439</v>
      </c>
      <c r="C181" s="7" t="str">
        <f>TEXT(Raw_Data!B181,"MMM")</f>
        <v>May</v>
      </c>
      <c r="D181" s="7">
        <f>YEAR(Raw_Data!B181)</f>
        <v>2024</v>
      </c>
      <c r="E181" s="9" t="str">
        <f>Raw_Data!C181</f>
        <v>Sanjay Patel</v>
      </c>
      <c r="F181" s="7" t="str">
        <f>Raw_Data!D181</f>
        <v>Delhi</v>
      </c>
      <c r="G181" s="9" t="str">
        <f>Raw_Data!E181</f>
        <v>Paracetamol Syrup</v>
      </c>
      <c r="H181" s="7" t="str">
        <f>Raw_Data!F181</f>
        <v>Syrup</v>
      </c>
      <c r="I181" s="7">
        <f>Raw_Data!G181</f>
        <v>2</v>
      </c>
      <c r="J181" s="10">
        <f>Raw_Data!H181</f>
        <v>45</v>
      </c>
      <c r="K181" s="10">
        <f>Raw_Data!I181</f>
        <v>21.6</v>
      </c>
      <c r="L181" s="10">
        <f>Raw_Data!J181</f>
        <v>90</v>
      </c>
      <c r="M181" s="11">
        <f>Raw_Data!K181</f>
        <v>5</v>
      </c>
      <c r="N181" s="10">
        <f>Raw_Data!L181</f>
        <v>85.5</v>
      </c>
      <c r="O181" s="10">
        <f t="shared" si="4"/>
        <v>46.8</v>
      </c>
      <c r="P181" s="14">
        <f t="shared" si="5"/>
        <v>0.52</v>
      </c>
      <c r="Q181" s="7" t="str">
        <f>Raw_Data!M181</f>
        <v>UPI</v>
      </c>
      <c r="R181" s="7" t="str">
        <f>Raw_Data!N181</f>
        <v>No</v>
      </c>
    </row>
    <row r="182" spans="1:18" x14ac:dyDescent="0.25">
      <c r="A182" s="2" t="str">
        <f>Raw_Data!A182</f>
        <v>ORD-0181</v>
      </c>
      <c r="B182" s="3">
        <f>Raw_Data!B182</f>
        <v>45348</v>
      </c>
      <c r="C182" s="2" t="str">
        <f>TEXT(Raw_Data!B182,"MMM")</f>
        <v>Feb</v>
      </c>
      <c r="D182" s="2">
        <f>YEAR(Raw_Data!B182)</f>
        <v>2024</v>
      </c>
      <c r="E182" s="4" t="str">
        <f>Raw_Data!C182</f>
        <v>Vikram Kumar</v>
      </c>
      <c r="F182" s="2" t="str">
        <f>Raw_Data!D182</f>
        <v>Surat</v>
      </c>
      <c r="G182" s="4" t="str">
        <f>Raw_Data!E182</f>
        <v>Protein Supplement</v>
      </c>
      <c r="H182" s="2" t="str">
        <f>Raw_Data!F182</f>
        <v>Powder</v>
      </c>
      <c r="I182" s="2">
        <f>Raw_Data!G182</f>
        <v>18</v>
      </c>
      <c r="J182" s="5">
        <f>Raw_Data!H182</f>
        <v>450</v>
      </c>
      <c r="K182" s="5">
        <f>Raw_Data!I182</f>
        <v>247.5</v>
      </c>
      <c r="L182" s="5">
        <f>Raw_Data!J182</f>
        <v>8100</v>
      </c>
      <c r="M182" s="6">
        <f>Raw_Data!K182</f>
        <v>0</v>
      </c>
      <c r="N182" s="5">
        <f>Raw_Data!L182</f>
        <v>8100</v>
      </c>
      <c r="O182" s="5">
        <f t="shared" si="4"/>
        <v>3645</v>
      </c>
      <c r="P182" s="13">
        <f t="shared" si="5"/>
        <v>0.45</v>
      </c>
      <c r="Q182" s="2" t="str">
        <f>Raw_Data!M182</f>
        <v>Card</v>
      </c>
      <c r="R182" s="2" t="str">
        <f>Raw_Data!N182</f>
        <v>No</v>
      </c>
    </row>
    <row r="183" spans="1:18" x14ac:dyDescent="0.25">
      <c r="A183" s="7" t="str">
        <f>Raw_Data!A183</f>
        <v>ORD-0182</v>
      </c>
      <c r="B183" s="8">
        <f>Raw_Data!B183</f>
        <v>45511</v>
      </c>
      <c r="C183" s="7" t="str">
        <f>TEXT(Raw_Data!B183,"MMM")</f>
        <v>Aug</v>
      </c>
      <c r="D183" s="7">
        <f>YEAR(Raw_Data!B183)</f>
        <v>2024</v>
      </c>
      <c r="E183" s="9" t="str">
        <f>Raw_Data!C183</f>
        <v>Manish Joshi</v>
      </c>
      <c r="F183" s="7" t="str">
        <f>Raw_Data!D183</f>
        <v>Pune</v>
      </c>
      <c r="G183" s="9" t="str">
        <f>Raw_Data!E183</f>
        <v>Losartan 50mg</v>
      </c>
      <c r="H183" s="7" t="str">
        <f>Raw_Data!F183</f>
        <v>Tablet</v>
      </c>
      <c r="I183" s="7">
        <f>Raw_Data!G183</f>
        <v>8</v>
      </c>
      <c r="J183" s="10">
        <f>Raw_Data!H183</f>
        <v>95</v>
      </c>
      <c r="K183" s="10">
        <f>Raw_Data!I183</f>
        <v>49.4</v>
      </c>
      <c r="L183" s="10">
        <f>Raw_Data!J183</f>
        <v>760</v>
      </c>
      <c r="M183" s="11">
        <f>Raw_Data!K183</f>
        <v>10</v>
      </c>
      <c r="N183" s="10">
        <f>Raw_Data!L183</f>
        <v>684</v>
      </c>
      <c r="O183" s="10">
        <f t="shared" si="4"/>
        <v>364.8</v>
      </c>
      <c r="P183" s="14">
        <f t="shared" si="5"/>
        <v>0.48000000000000004</v>
      </c>
      <c r="Q183" s="7" t="str">
        <f>Raw_Data!M183</f>
        <v>UPI</v>
      </c>
      <c r="R183" s="7" t="str">
        <f>Raw_Data!N183</f>
        <v>Yes</v>
      </c>
    </row>
    <row r="184" spans="1:18" x14ac:dyDescent="0.25">
      <c r="A184" s="2" t="str">
        <f>Raw_Data!A184</f>
        <v>ORD-0183</v>
      </c>
      <c r="B184" s="3">
        <f>Raw_Data!B184</f>
        <v>45326</v>
      </c>
      <c r="C184" s="2" t="str">
        <f>TEXT(Raw_Data!B184,"MMM")</f>
        <v>Feb</v>
      </c>
      <c r="D184" s="2">
        <f>YEAR(Raw_Data!B184)</f>
        <v>2024</v>
      </c>
      <c r="E184" s="4" t="str">
        <f>Raw_Data!C184</f>
        <v>Priya Agarwal</v>
      </c>
      <c r="F184" s="2" t="str">
        <f>Raw_Data!D184</f>
        <v>Jaipur</v>
      </c>
      <c r="G184" s="4" t="str">
        <f>Raw_Data!E184</f>
        <v>Refresh Tears</v>
      </c>
      <c r="H184" s="2" t="str">
        <f>Raw_Data!F184</f>
        <v>Drops</v>
      </c>
      <c r="I184" s="2">
        <f>Raw_Data!G184</f>
        <v>17</v>
      </c>
      <c r="J184" s="5">
        <f>Raw_Data!H184</f>
        <v>110</v>
      </c>
      <c r="K184" s="5">
        <f>Raw_Data!I184</f>
        <v>49.5</v>
      </c>
      <c r="L184" s="5">
        <f>Raw_Data!J184</f>
        <v>1870</v>
      </c>
      <c r="M184" s="6">
        <f>Raw_Data!K184</f>
        <v>20</v>
      </c>
      <c r="N184" s="5">
        <f>Raw_Data!L184</f>
        <v>1496</v>
      </c>
      <c r="O184" s="5">
        <f t="shared" si="4"/>
        <v>1028.5</v>
      </c>
      <c r="P184" s="13">
        <f t="shared" si="5"/>
        <v>0.55000000000000004</v>
      </c>
      <c r="Q184" s="2" t="str">
        <f>Raw_Data!M184</f>
        <v>UPI</v>
      </c>
      <c r="R184" s="2" t="str">
        <f>Raw_Data!N184</f>
        <v>Yes</v>
      </c>
    </row>
    <row r="185" spans="1:18" x14ac:dyDescent="0.25">
      <c r="A185" s="7" t="str">
        <f>Raw_Data!A185</f>
        <v>ORD-0184</v>
      </c>
      <c r="B185" s="8">
        <f>Raw_Data!B185</f>
        <v>45490</v>
      </c>
      <c r="C185" s="7" t="str">
        <f>TEXT(Raw_Data!B185,"MMM")</f>
        <v>Jul</v>
      </c>
      <c r="D185" s="7">
        <f>YEAR(Raw_Data!B185)</f>
        <v>2024</v>
      </c>
      <c r="E185" s="9" t="str">
        <f>Raw_Data!C185</f>
        <v>Sunita Dubey</v>
      </c>
      <c r="F185" s="7" t="str">
        <f>Raw_Data!D185</f>
        <v>Mumbai</v>
      </c>
      <c r="G185" s="9" t="str">
        <f>Raw_Data!E185</f>
        <v>Dexamethasone Inj</v>
      </c>
      <c r="H185" s="7" t="str">
        <f>Raw_Data!F185</f>
        <v>Injection</v>
      </c>
      <c r="I185" s="7">
        <f>Raw_Data!G185</f>
        <v>12</v>
      </c>
      <c r="J185" s="10">
        <f>Raw_Data!H185</f>
        <v>95</v>
      </c>
      <c r="K185" s="10">
        <f>Raw_Data!I185</f>
        <v>57</v>
      </c>
      <c r="L185" s="10">
        <f>Raw_Data!J185</f>
        <v>1140</v>
      </c>
      <c r="M185" s="11">
        <f>Raw_Data!K185</f>
        <v>0</v>
      </c>
      <c r="N185" s="10">
        <f>Raw_Data!L185</f>
        <v>1140</v>
      </c>
      <c r="O185" s="10">
        <f t="shared" si="4"/>
        <v>456</v>
      </c>
      <c r="P185" s="14">
        <f t="shared" si="5"/>
        <v>0.4</v>
      </c>
      <c r="Q185" s="7" t="str">
        <f>Raw_Data!M185</f>
        <v>UPI</v>
      </c>
      <c r="R185" s="7" t="str">
        <f>Raw_Data!N185</f>
        <v>Yes</v>
      </c>
    </row>
    <row r="186" spans="1:18" x14ac:dyDescent="0.25">
      <c r="A186" s="2" t="str">
        <f>Raw_Data!A186</f>
        <v>ORD-0185</v>
      </c>
      <c r="B186" s="3">
        <f>Raw_Data!B186</f>
        <v>45589</v>
      </c>
      <c r="C186" s="2" t="str">
        <f>TEXT(Raw_Data!B186,"MMM")</f>
        <v>Oct</v>
      </c>
      <c r="D186" s="2">
        <f>YEAR(Raw_Data!B186)</f>
        <v>2024</v>
      </c>
      <c r="E186" s="4" t="str">
        <f>Raw_Data!C186</f>
        <v>Anjali Mishra</v>
      </c>
      <c r="F186" s="2" t="str">
        <f>Raw_Data!D186</f>
        <v>Bangalore</v>
      </c>
      <c r="G186" s="4" t="str">
        <f>Raw_Data!E186</f>
        <v>Candid Cream</v>
      </c>
      <c r="H186" s="2" t="str">
        <f>Raw_Data!F186</f>
        <v>Cream</v>
      </c>
      <c r="I186" s="2">
        <f>Raw_Data!G186</f>
        <v>2</v>
      </c>
      <c r="J186" s="5">
        <f>Raw_Data!H186</f>
        <v>65</v>
      </c>
      <c r="K186" s="5">
        <f>Raw_Data!I186</f>
        <v>30.55</v>
      </c>
      <c r="L186" s="5">
        <f>Raw_Data!J186</f>
        <v>130</v>
      </c>
      <c r="M186" s="6">
        <f>Raw_Data!K186</f>
        <v>10</v>
      </c>
      <c r="N186" s="5">
        <f>Raw_Data!L186</f>
        <v>117</v>
      </c>
      <c r="O186" s="5">
        <f t="shared" si="4"/>
        <v>68.900000000000006</v>
      </c>
      <c r="P186" s="13">
        <f t="shared" si="5"/>
        <v>0.53</v>
      </c>
      <c r="Q186" s="2" t="str">
        <f>Raw_Data!M186</f>
        <v>UPI</v>
      </c>
      <c r="R186" s="2" t="str">
        <f>Raw_Data!N186</f>
        <v>No</v>
      </c>
    </row>
    <row r="187" spans="1:18" x14ac:dyDescent="0.25">
      <c r="A187" s="7" t="str">
        <f>Raw_Data!A187</f>
        <v>ORD-0186</v>
      </c>
      <c r="B187" s="8">
        <f>Raw_Data!B187</f>
        <v>45642</v>
      </c>
      <c r="C187" s="7" t="str">
        <f>TEXT(Raw_Data!B187,"MMM")</f>
        <v>Dec</v>
      </c>
      <c r="D187" s="7">
        <f>YEAR(Raw_Data!B187)</f>
        <v>2024</v>
      </c>
      <c r="E187" s="9" t="str">
        <f>Raw_Data!C187</f>
        <v>Priya Kumar</v>
      </c>
      <c r="F187" s="7" t="str">
        <f>Raw_Data!D187</f>
        <v>Bangalore</v>
      </c>
      <c r="G187" s="9" t="str">
        <f>Raw_Data!E187</f>
        <v>Vitamin D3 60K</v>
      </c>
      <c r="H187" s="7" t="str">
        <f>Raw_Data!F187</f>
        <v>Capsule</v>
      </c>
      <c r="I187" s="7">
        <f>Raw_Data!G187</f>
        <v>5</v>
      </c>
      <c r="J187" s="10">
        <f>Raw_Data!H187</f>
        <v>55</v>
      </c>
      <c r="K187" s="10">
        <f>Raw_Data!I187</f>
        <v>27.5</v>
      </c>
      <c r="L187" s="10">
        <f>Raw_Data!J187</f>
        <v>275</v>
      </c>
      <c r="M187" s="11">
        <f>Raw_Data!K187</f>
        <v>0</v>
      </c>
      <c r="N187" s="10">
        <f>Raw_Data!L187</f>
        <v>275</v>
      </c>
      <c r="O187" s="10">
        <f t="shared" si="4"/>
        <v>137.5</v>
      </c>
      <c r="P187" s="14">
        <f t="shared" si="5"/>
        <v>0.5</v>
      </c>
      <c r="Q187" s="7" t="str">
        <f>Raw_Data!M187</f>
        <v>UPI</v>
      </c>
      <c r="R187" s="7" t="str">
        <f>Raw_Data!N187</f>
        <v>No</v>
      </c>
    </row>
    <row r="188" spans="1:18" x14ac:dyDescent="0.25">
      <c r="A188" s="2" t="str">
        <f>Raw_Data!A188</f>
        <v>ORD-0187</v>
      </c>
      <c r="B188" s="3">
        <f>Raw_Data!B188</f>
        <v>45395</v>
      </c>
      <c r="C188" s="2" t="str">
        <f>TEXT(Raw_Data!B188,"MMM")</f>
        <v>Apr</v>
      </c>
      <c r="D188" s="2">
        <f>YEAR(Raw_Data!B188)</f>
        <v>2024</v>
      </c>
      <c r="E188" s="4" t="str">
        <f>Raw_Data!C188</f>
        <v>Swati Shah</v>
      </c>
      <c r="F188" s="2" t="str">
        <f>Raw_Data!D188</f>
        <v>Mumbai</v>
      </c>
      <c r="G188" s="4" t="str">
        <f>Raw_Data!E188</f>
        <v>Atorvastatin 10mg</v>
      </c>
      <c r="H188" s="2" t="str">
        <f>Raw_Data!F188</f>
        <v>Tablet</v>
      </c>
      <c r="I188" s="2">
        <f>Raw_Data!G188</f>
        <v>11</v>
      </c>
      <c r="J188" s="5">
        <f>Raw_Data!H188</f>
        <v>120</v>
      </c>
      <c r="K188" s="5">
        <f>Raw_Data!I188</f>
        <v>62.4</v>
      </c>
      <c r="L188" s="5">
        <f>Raw_Data!J188</f>
        <v>1320</v>
      </c>
      <c r="M188" s="6">
        <f>Raw_Data!K188</f>
        <v>5</v>
      </c>
      <c r="N188" s="5">
        <f>Raw_Data!L188</f>
        <v>1254</v>
      </c>
      <c r="O188" s="5">
        <f t="shared" si="4"/>
        <v>633.6</v>
      </c>
      <c r="P188" s="13">
        <f t="shared" si="5"/>
        <v>0.48000000000000004</v>
      </c>
      <c r="Q188" s="2" t="str">
        <f>Raw_Data!M188</f>
        <v>UPI</v>
      </c>
      <c r="R188" s="2" t="str">
        <f>Raw_Data!N188</f>
        <v>Yes</v>
      </c>
    </row>
    <row r="189" spans="1:18" x14ac:dyDescent="0.25">
      <c r="A189" s="7" t="str">
        <f>Raw_Data!A189</f>
        <v>ORD-0188</v>
      </c>
      <c r="B189" s="8">
        <f>Raw_Data!B189</f>
        <v>45421</v>
      </c>
      <c r="C189" s="7" t="str">
        <f>TEXT(Raw_Data!B189,"MMM")</f>
        <v>May</v>
      </c>
      <c r="D189" s="7">
        <f>YEAR(Raw_Data!B189)</f>
        <v>2024</v>
      </c>
      <c r="E189" s="9" t="str">
        <f>Raw_Data!C189</f>
        <v>Sunita Dubey</v>
      </c>
      <c r="F189" s="7" t="str">
        <f>Raw_Data!D189</f>
        <v>Chennai</v>
      </c>
      <c r="G189" s="9" t="str">
        <f>Raw_Data!E189</f>
        <v>Atorvastatin 10mg</v>
      </c>
      <c r="H189" s="7" t="str">
        <f>Raw_Data!F189</f>
        <v>Tablet</v>
      </c>
      <c r="I189" s="7">
        <f>Raw_Data!G189</f>
        <v>12</v>
      </c>
      <c r="J189" s="10">
        <f>Raw_Data!H189</f>
        <v>120</v>
      </c>
      <c r="K189" s="10">
        <f>Raw_Data!I189</f>
        <v>62.4</v>
      </c>
      <c r="L189" s="10">
        <f>Raw_Data!J189</f>
        <v>1440</v>
      </c>
      <c r="M189" s="11">
        <f>Raw_Data!K189</f>
        <v>0</v>
      </c>
      <c r="N189" s="10">
        <f>Raw_Data!L189</f>
        <v>1440</v>
      </c>
      <c r="O189" s="10">
        <f t="shared" si="4"/>
        <v>691.2</v>
      </c>
      <c r="P189" s="14">
        <f t="shared" si="5"/>
        <v>0.48000000000000004</v>
      </c>
      <c r="Q189" s="7" t="str">
        <f>Raw_Data!M189</f>
        <v>Card</v>
      </c>
      <c r="R189" s="7" t="str">
        <f>Raw_Data!N189</f>
        <v>No</v>
      </c>
    </row>
    <row r="190" spans="1:18" x14ac:dyDescent="0.25">
      <c r="A190" s="2" t="str">
        <f>Raw_Data!A190</f>
        <v>ORD-0189</v>
      </c>
      <c r="B190" s="3">
        <f>Raw_Data!B190</f>
        <v>45480</v>
      </c>
      <c r="C190" s="2" t="str">
        <f>TEXT(Raw_Data!B190,"MMM")</f>
        <v>Jul</v>
      </c>
      <c r="D190" s="2">
        <f>YEAR(Raw_Data!B190)</f>
        <v>2024</v>
      </c>
      <c r="E190" s="4" t="str">
        <f>Raw_Data!C190</f>
        <v>Rekha Joshi</v>
      </c>
      <c r="F190" s="2" t="str">
        <f>Raw_Data!D190</f>
        <v>Ahmedabad</v>
      </c>
      <c r="G190" s="4" t="str">
        <f>Raw_Data!E190</f>
        <v>Vitamin D3 60K</v>
      </c>
      <c r="H190" s="2" t="str">
        <f>Raw_Data!F190</f>
        <v>Capsule</v>
      </c>
      <c r="I190" s="2">
        <f>Raw_Data!G190</f>
        <v>13</v>
      </c>
      <c r="J190" s="5">
        <f>Raw_Data!H190</f>
        <v>55</v>
      </c>
      <c r="K190" s="5">
        <f>Raw_Data!I190</f>
        <v>27.5</v>
      </c>
      <c r="L190" s="5">
        <f>Raw_Data!J190</f>
        <v>715</v>
      </c>
      <c r="M190" s="6">
        <f>Raw_Data!K190</f>
        <v>10</v>
      </c>
      <c r="N190" s="5">
        <f>Raw_Data!L190</f>
        <v>643.5</v>
      </c>
      <c r="O190" s="5">
        <f t="shared" si="4"/>
        <v>357.5</v>
      </c>
      <c r="P190" s="13">
        <f t="shared" si="5"/>
        <v>0.5</v>
      </c>
      <c r="Q190" s="2" t="str">
        <f>Raw_Data!M190</f>
        <v>Card</v>
      </c>
      <c r="R190" s="2" t="str">
        <f>Raw_Data!N190</f>
        <v>No</v>
      </c>
    </row>
    <row r="191" spans="1:18" x14ac:dyDescent="0.25">
      <c r="A191" s="7" t="str">
        <f>Raw_Data!A191</f>
        <v>ORD-0190</v>
      </c>
      <c r="B191" s="8">
        <f>Raw_Data!B191</f>
        <v>45557</v>
      </c>
      <c r="C191" s="7" t="str">
        <f>TEXT(Raw_Data!B191,"MMM")</f>
        <v>Sep</v>
      </c>
      <c r="D191" s="7">
        <f>YEAR(Raw_Data!B191)</f>
        <v>2024</v>
      </c>
      <c r="E191" s="9" t="str">
        <f>Raw_Data!C191</f>
        <v>Swati Kumar</v>
      </c>
      <c r="F191" s="7" t="str">
        <f>Raw_Data!D191</f>
        <v>Kolkata</v>
      </c>
      <c r="G191" s="9" t="str">
        <f>Raw_Data!E191</f>
        <v>Insulin Glargine</v>
      </c>
      <c r="H191" s="7" t="str">
        <f>Raw_Data!F191</f>
        <v>Injection</v>
      </c>
      <c r="I191" s="7">
        <f>Raw_Data!G191</f>
        <v>3</v>
      </c>
      <c r="J191" s="10">
        <f>Raw_Data!H191</f>
        <v>850</v>
      </c>
      <c r="K191" s="10">
        <f>Raw_Data!I191</f>
        <v>510</v>
      </c>
      <c r="L191" s="10">
        <f>Raw_Data!J191</f>
        <v>2550</v>
      </c>
      <c r="M191" s="11">
        <f>Raw_Data!K191</f>
        <v>10</v>
      </c>
      <c r="N191" s="10">
        <f>Raw_Data!L191</f>
        <v>2295</v>
      </c>
      <c r="O191" s="10">
        <f t="shared" si="4"/>
        <v>1020</v>
      </c>
      <c r="P191" s="14">
        <f t="shared" si="5"/>
        <v>0.4</v>
      </c>
      <c r="Q191" s="7" t="str">
        <f>Raw_Data!M191</f>
        <v>UPI</v>
      </c>
      <c r="R191" s="7" t="str">
        <f>Raw_Data!N191</f>
        <v>Yes</v>
      </c>
    </row>
    <row r="192" spans="1:18" x14ac:dyDescent="0.25">
      <c r="A192" s="2" t="str">
        <f>Raw_Data!A192</f>
        <v>ORD-0191</v>
      </c>
      <c r="B192" s="3">
        <f>Raw_Data!B192</f>
        <v>45456</v>
      </c>
      <c r="C192" s="2" t="str">
        <f>TEXT(Raw_Data!B192,"MMM")</f>
        <v>Jun</v>
      </c>
      <c r="D192" s="2">
        <f>YEAR(Raw_Data!B192)</f>
        <v>2024</v>
      </c>
      <c r="E192" s="4" t="str">
        <f>Raw_Data!C192</f>
        <v>Anjali Tiwari</v>
      </c>
      <c r="F192" s="2" t="str">
        <f>Raw_Data!D192</f>
        <v>Pune</v>
      </c>
      <c r="G192" s="4" t="str">
        <f>Raw_Data!E192</f>
        <v>Amoxicillin 250mg</v>
      </c>
      <c r="H192" s="2" t="str">
        <f>Raw_Data!F192</f>
        <v>Tablet</v>
      </c>
      <c r="I192" s="2">
        <f>Raw_Data!G192</f>
        <v>10</v>
      </c>
      <c r="J192" s="5">
        <f>Raw_Data!H192</f>
        <v>85</v>
      </c>
      <c r="K192" s="5">
        <f>Raw_Data!I192</f>
        <v>44.2</v>
      </c>
      <c r="L192" s="5">
        <f>Raw_Data!J192</f>
        <v>850</v>
      </c>
      <c r="M192" s="6">
        <f>Raw_Data!K192</f>
        <v>5</v>
      </c>
      <c r="N192" s="5">
        <f>Raw_Data!L192</f>
        <v>807.5</v>
      </c>
      <c r="O192" s="5">
        <f t="shared" si="4"/>
        <v>408</v>
      </c>
      <c r="P192" s="13">
        <f t="shared" si="5"/>
        <v>0.48</v>
      </c>
      <c r="Q192" s="2" t="str">
        <f>Raw_Data!M192</f>
        <v>UPI</v>
      </c>
      <c r="R192" s="2" t="str">
        <f>Raw_Data!N192</f>
        <v>Yes</v>
      </c>
    </row>
    <row r="193" spans="1:18" x14ac:dyDescent="0.25">
      <c r="A193" s="7" t="str">
        <f>Raw_Data!A193</f>
        <v>ORD-0192</v>
      </c>
      <c r="B193" s="8">
        <f>Raw_Data!B193</f>
        <v>45519</v>
      </c>
      <c r="C193" s="7" t="str">
        <f>TEXT(Raw_Data!B193,"MMM")</f>
        <v>Aug</v>
      </c>
      <c r="D193" s="7">
        <f>YEAR(Raw_Data!B193)</f>
        <v>2024</v>
      </c>
      <c r="E193" s="9" t="str">
        <f>Raw_Data!C193</f>
        <v>Priya Patel</v>
      </c>
      <c r="F193" s="7" t="str">
        <f>Raw_Data!D193</f>
        <v>Mumbai</v>
      </c>
      <c r="G193" s="9" t="str">
        <f>Raw_Data!E193</f>
        <v>Vitamin B12 Inj</v>
      </c>
      <c r="H193" s="7" t="str">
        <f>Raw_Data!F193</f>
        <v>Injection</v>
      </c>
      <c r="I193" s="7">
        <f>Raw_Data!G193</f>
        <v>12</v>
      </c>
      <c r="J193" s="10">
        <f>Raw_Data!H193</f>
        <v>60</v>
      </c>
      <c r="K193" s="10">
        <f>Raw_Data!I193</f>
        <v>36</v>
      </c>
      <c r="L193" s="10">
        <f>Raw_Data!J193</f>
        <v>720</v>
      </c>
      <c r="M193" s="11">
        <f>Raw_Data!K193</f>
        <v>10</v>
      </c>
      <c r="N193" s="10">
        <f>Raw_Data!L193</f>
        <v>648</v>
      </c>
      <c r="O193" s="10">
        <f t="shared" si="4"/>
        <v>288</v>
      </c>
      <c r="P193" s="14">
        <f t="shared" si="5"/>
        <v>0.4</v>
      </c>
      <c r="Q193" s="7" t="str">
        <f>Raw_Data!M193</f>
        <v>UPI</v>
      </c>
      <c r="R193" s="7" t="str">
        <f>Raw_Data!N193</f>
        <v>Yes</v>
      </c>
    </row>
    <row r="194" spans="1:18" x14ac:dyDescent="0.25">
      <c r="A194" s="2" t="str">
        <f>Raw_Data!A194</f>
        <v>ORD-0193</v>
      </c>
      <c r="B194" s="3">
        <f>Raw_Data!B194</f>
        <v>45635</v>
      </c>
      <c r="C194" s="2" t="str">
        <f>TEXT(Raw_Data!B194,"MMM")</f>
        <v>Dec</v>
      </c>
      <c r="D194" s="2">
        <f>YEAR(Raw_Data!B194)</f>
        <v>2024</v>
      </c>
      <c r="E194" s="4" t="str">
        <f>Raw_Data!C194</f>
        <v>Nisha Agarwal</v>
      </c>
      <c r="F194" s="2" t="str">
        <f>Raw_Data!D194</f>
        <v>Pune</v>
      </c>
      <c r="G194" s="4" t="str">
        <f>Raw_Data!E194</f>
        <v>Candid Cream</v>
      </c>
      <c r="H194" s="2" t="str">
        <f>Raw_Data!F194</f>
        <v>Cream</v>
      </c>
      <c r="I194" s="2">
        <f>Raw_Data!G194</f>
        <v>17</v>
      </c>
      <c r="J194" s="5">
        <f>Raw_Data!H194</f>
        <v>65</v>
      </c>
      <c r="K194" s="5">
        <f>Raw_Data!I194</f>
        <v>30.55</v>
      </c>
      <c r="L194" s="5">
        <f>Raw_Data!J194</f>
        <v>1105</v>
      </c>
      <c r="M194" s="6">
        <f>Raw_Data!K194</f>
        <v>0</v>
      </c>
      <c r="N194" s="5">
        <f>Raw_Data!L194</f>
        <v>1105</v>
      </c>
      <c r="O194" s="5">
        <f t="shared" ref="O194:O257" si="6">L194-(I194*K194)</f>
        <v>585.65</v>
      </c>
      <c r="P194" s="13">
        <f t="shared" ref="P194:P257" si="7">IFERROR((L194-(I194*K194))/L194,0)</f>
        <v>0.53</v>
      </c>
      <c r="Q194" s="2" t="str">
        <f>Raw_Data!M194</f>
        <v>Cash</v>
      </c>
      <c r="R194" s="2" t="str">
        <f>Raw_Data!N194</f>
        <v>No</v>
      </c>
    </row>
    <row r="195" spans="1:18" x14ac:dyDescent="0.25">
      <c r="A195" s="7" t="str">
        <f>Raw_Data!A195</f>
        <v>ORD-0194</v>
      </c>
      <c r="B195" s="8">
        <f>Raw_Data!B195</f>
        <v>45516</v>
      </c>
      <c r="C195" s="7" t="str">
        <f>TEXT(Raw_Data!B195,"MMM")</f>
        <v>Aug</v>
      </c>
      <c r="D195" s="7">
        <f>YEAR(Raw_Data!B195)</f>
        <v>2024</v>
      </c>
      <c r="E195" s="9" t="str">
        <f>Raw_Data!C195</f>
        <v>Priya Rao</v>
      </c>
      <c r="F195" s="7" t="str">
        <f>Raw_Data!D195</f>
        <v>Delhi</v>
      </c>
      <c r="G195" s="9" t="str">
        <f>Raw_Data!E195</f>
        <v>Metformin 500mg</v>
      </c>
      <c r="H195" s="7" t="str">
        <f>Raw_Data!F195</f>
        <v>Tablet</v>
      </c>
      <c r="I195" s="7">
        <f>Raw_Data!G195</f>
        <v>8</v>
      </c>
      <c r="J195" s="10">
        <f>Raw_Data!H195</f>
        <v>45</v>
      </c>
      <c r="K195" s="10">
        <f>Raw_Data!I195</f>
        <v>23.4</v>
      </c>
      <c r="L195" s="10">
        <f>Raw_Data!J195</f>
        <v>360</v>
      </c>
      <c r="M195" s="11">
        <f>Raw_Data!K195</f>
        <v>10</v>
      </c>
      <c r="N195" s="10">
        <f>Raw_Data!L195</f>
        <v>324</v>
      </c>
      <c r="O195" s="10">
        <f t="shared" si="6"/>
        <v>172.8</v>
      </c>
      <c r="P195" s="14">
        <f t="shared" si="7"/>
        <v>0.48000000000000004</v>
      </c>
      <c r="Q195" s="7" t="str">
        <f>Raw_Data!M195</f>
        <v>UPI</v>
      </c>
      <c r="R195" s="7" t="str">
        <f>Raw_Data!N195</f>
        <v>Yes</v>
      </c>
    </row>
    <row r="196" spans="1:18" x14ac:dyDescent="0.25">
      <c r="A196" s="2" t="str">
        <f>Raw_Data!A196</f>
        <v>ORD-0195</v>
      </c>
      <c r="B196" s="3">
        <f>Raw_Data!B196</f>
        <v>45370</v>
      </c>
      <c r="C196" s="2" t="str">
        <f>TEXT(Raw_Data!B196,"MMM")</f>
        <v>Mar</v>
      </c>
      <c r="D196" s="2">
        <f>YEAR(Raw_Data!B196)</f>
        <v>2024</v>
      </c>
      <c r="E196" s="4" t="str">
        <f>Raw_Data!C196</f>
        <v>Manish Joshi</v>
      </c>
      <c r="F196" s="2" t="str">
        <f>Raw_Data!D196</f>
        <v>Pune</v>
      </c>
      <c r="G196" s="4" t="str">
        <f>Raw_Data!E196</f>
        <v>Candid Cream</v>
      </c>
      <c r="H196" s="2" t="str">
        <f>Raw_Data!F196</f>
        <v>Cream</v>
      </c>
      <c r="I196" s="2">
        <f>Raw_Data!G196</f>
        <v>12</v>
      </c>
      <c r="J196" s="5">
        <f>Raw_Data!H196</f>
        <v>65</v>
      </c>
      <c r="K196" s="5">
        <f>Raw_Data!I196</f>
        <v>30.55</v>
      </c>
      <c r="L196" s="5">
        <f>Raw_Data!J196</f>
        <v>780</v>
      </c>
      <c r="M196" s="6">
        <f>Raw_Data!K196</f>
        <v>15</v>
      </c>
      <c r="N196" s="5">
        <f>Raw_Data!L196</f>
        <v>663</v>
      </c>
      <c r="O196" s="5">
        <f t="shared" si="6"/>
        <v>413.4</v>
      </c>
      <c r="P196" s="13">
        <f t="shared" si="7"/>
        <v>0.52999999999999992</v>
      </c>
      <c r="Q196" s="2" t="str">
        <f>Raw_Data!M196</f>
        <v>Card</v>
      </c>
      <c r="R196" s="2" t="str">
        <f>Raw_Data!N196</f>
        <v>No</v>
      </c>
    </row>
    <row r="197" spans="1:18" x14ac:dyDescent="0.25">
      <c r="A197" s="7" t="str">
        <f>Raw_Data!A197</f>
        <v>ORD-0196</v>
      </c>
      <c r="B197" s="8">
        <f>Raw_Data!B197</f>
        <v>45495</v>
      </c>
      <c r="C197" s="7" t="str">
        <f>TEXT(Raw_Data!B197,"MMM")</f>
        <v>Jul</v>
      </c>
      <c r="D197" s="7">
        <f>YEAR(Raw_Data!B197)</f>
        <v>2024</v>
      </c>
      <c r="E197" s="9" t="str">
        <f>Raw_Data!C197</f>
        <v>Nikhil Nair</v>
      </c>
      <c r="F197" s="7" t="str">
        <f>Raw_Data!D197</f>
        <v>Hyderabad</v>
      </c>
      <c r="G197" s="9" t="str">
        <f>Raw_Data!E197</f>
        <v>Dexamethasone Inj</v>
      </c>
      <c r="H197" s="7" t="str">
        <f>Raw_Data!F197</f>
        <v>Injection</v>
      </c>
      <c r="I197" s="7">
        <f>Raw_Data!G197</f>
        <v>4</v>
      </c>
      <c r="J197" s="10">
        <f>Raw_Data!H197</f>
        <v>95</v>
      </c>
      <c r="K197" s="10">
        <f>Raw_Data!I197</f>
        <v>57</v>
      </c>
      <c r="L197" s="10">
        <f>Raw_Data!J197</f>
        <v>380</v>
      </c>
      <c r="M197" s="11">
        <f>Raw_Data!K197</f>
        <v>0</v>
      </c>
      <c r="N197" s="10">
        <f>Raw_Data!L197</f>
        <v>380</v>
      </c>
      <c r="O197" s="10">
        <f t="shared" si="6"/>
        <v>152</v>
      </c>
      <c r="P197" s="14">
        <f t="shared" si="7"/>
        <v>0.4</v>
      </c>
      <c r="Q197" s="7" t="str">
        <f>Raw_Data!M197</f>
        <v>Card</v>
      </c>
      <c r="R197" s="7" t="str">
        <f>Raw_Data!N197</f>
        <v>Yes</v>
      </c>
    </row>
    <row r="198" spans="1:18" x14ac:dyDescent="0.25">
      <c r="A198" s="2" t="str">
        <f>Raw_Data!A198</f>
        <v>ORD-0197</v>
      </c>
      <c r="B198" s="3">
        <f>Raw_Data!B198</f>
        <v>45579</v>
      </c>
      <c r="C198" s="2" t="str">
        <f>TEXT(Raw_Data!B198,"MMM")</f>
        <v>Oct</v>
      </c>
      <c r="D198" s="2">
        <f>YEAR(Raw_Data!B198)</f>
        <v>2024</v>
      </c>
      <c r="E198" s="4" t="str">
        <f>Raw_Data!C198</f>
        <v>Rekha Singh</v>
      </c>
      <c r="F198" s="2" t="str">
        <f>Raw_Data!D198</f>
        <v>Chennai</v>
      </c>
      <c r="G198" s="4" t="str">
        <f>Raw_Data!E198</f>
        <v>Cetirizine 10mg</v>
      </c>
      <c r="H198" s="2" t="str">
        <f>Raw_Data!F198</f>
        <v>Tablet</v>
      </c>
      <c r="I198" s="2">
        <f>Raw_Data!G198</f>
        <v>15</v>
      </c>
      <c r="J198" s="5">
        <f>Raw_Data!H198</f>
        <v>35</v>
      </c>
      <c r="K198" s="5">
        <f>Raw_Data!I198</f>
        <v>18.2</v>
      </c>
      <c r="L198" s="5">
        <f>Raw_Data!J198</f>
        <v>525</v>
      </c>
      <c r="M198" s="6">
        <f>Raw_Data!K198</f>
        <v>5</v>
      </c>
      <c r="N198" s="5">
        <f>Raw_Data!L198</f>
        <v>498.75</v>
      </c>
      <c r="O198" s="5">
        <f t="shared" si="6"/>
        <v>252</v>
      </c>
      <c r="P198" s="13">
        <f t="shared" si="7"/>
        <v>0.48</v>
      </c>
      <c r="Q198" s="2" t="str">
        <f>Raw_Data!M198</f>
        <v>Cash</v>
      </c>
      <c r="R198" s="2" t="str">
        <f>Raw_Data!N198</f>
        <v>No</v>
      </c>
    </row>
    <row r="199" spans="1:18" x14ac:dyDescent="0.25">
      <c r="A199" s="7" t="str">
        <f>Raw_Data!A199</f>
        <v>ORD-0198</v>
      </c>
      <c r="B199" s="8">
        <f>Raw_Data!B199</f>
        <v>45354</v>
      </c>
      <c r="C199" s="7" t="str">
        <f>TEXT(Raw_Data!B199,"MMM")</f>
        <v>Mar</v>
      </c>
      <c r="D199" s="7">
        <f>YEAR(Raw_Data!B199)</f>
        <v>2024</v>
      </c>
      <c r="E199" s="9" t="str">
        <f>Raw_Data!C199</f>
        <v>Arjun Agarwal</v>
      </c>
      <c r="F199" s="7" t="str">
        <f>Raw_Data!D199</f>
        <v>Ahmedabad</v>
      </c>
      <c r="G199" s="9" t="str">
        <f>Raw_Data!E199</f>
        <v>Benadryl Cough Syrup</v>
      </c>
      <c r="H199" s="7" t="str">
        <f>Raw_Data!F199</f>
        <v>Syrup</v>
      </c>
      <c r="I199" s="7">
        <f>Raw_Data!G199</f>
        <v>6</v>
      </c>
      <c r="J199" s="10">
        <f>Raw_Data!H199</f>
        <v>110</v>
      </c>
      <c r="K199" s="10">
        <f>Raw_Data!I199</f>
        <v>52.8</v>
      </c>
      <c r="L199" s="10">
        <f>Raw_Data!J199</f>
        <v>660</v>
      </c>
      <c r="M199" s="11">
        <f>Raw_Data!K199</f>
        <v>15</v>
      </c>
      <c r="N199" s="10">
        <f>Raw_Data!L199</f>
        <v>561</v>
      </c>
      <c r="O199" s="10">
        <f t="shared" si="6"/>
        <v>343.20000000000005</v>
      </c>
      <c r="P199" s="14">
        <f t="shared" si="7"/>
        <v>0.52</v>
      </c>
      <c r="Q199" s="7" t="str">
        <f>Raw_Data!M199</f>
        <v>UPI</v>
      </c>
      <c r="R199" s="7" t="str">
        <f>Raw_Data!N199</f>
        <v>No</v>
      </c>
    </row>
    <row r="200" spans="1:18" x14ac:dyDescent="0.25">
      <c r="A200" s="2" t="str">
        <f>Raw_Data!A200</f>
        <v>ORD-0199</v>
      </c>
      <c r="B200" s="3">
        <f>Raw_Data!B200</f>
        <v>45469</v>
      </c>
      <c r="C200" s="2" t="str">
        <f>TEXT(Raw_Data!B200,"MMM")</f>
        <v>Jun</v>
      </c>
      <c r="D200" s="2">
        <f>YEAR(Raw_Data!B200)</f>
        <v>2024</v>
      </c>
      <c r="E200" s="4" t="str">
        <f>Raw_Data!C200</f>
        <v>Anjali Dubey</v>
      </c>
      <c r="F200" s="2" t="str">
        <f>Raw_Data!D200</f>
        <v>Jaipur</v>
      </c>
      <c r="G200" s="4" t="str">
        <f>Raw_Data!E200</f>
        <v>Betadine Cream</v>
      </c>
      <c r="H200" s="2" t="str">
        <f>Raw_Data!F200</f>
        <v>Cream</v>
      </c>
      <c r="I200" s="2">
        <f>Raw_Data!G200</f>
        <v>18</v>
      </c>
      <c r="J200" s="5">
        <f>Raw_Data!H200</f>
        <v>85</v>
      </c>
      <c r="K200" s="5">
        <f>Raw_Data!I200</f>
        <v>39.950000000000003</v>
      </c>
      <c r="L200" s="5">
        <f>Raw_Data!J200</f>
        <v>1530</v>
      </c>
      <c r="M200" s="6">
        <f>Raw_Data!K200</f>
        <v>5</v>
      </c>
      <c r="N200" s="5">
        <f>Raw_Data!L200</f>
        <v>1453.5</v>
      </c>
      <c r="O200" s="5">
        <f t="shared" si="6"/>
        <v>810.9</v>
      </c>
      <c r="P200" s="13">
        <f t="shared" si="7"/>
        <v>0.53</v>
      </c>
      <c r="Q200" s="2" t="str">
        <f>Raw_Data!M200</f>
        <v>UPI</v>
      </c>
      <c r="R200" s="2" t="str">
        <f>Raw_Data!N200</f>
        <v>No</v>
      </c>
    </row>
    <row r="201" spans="1:18" x14ac:dyDescent="0.25">
      <c r="A201" s="7" t="str">
        <f>Raw_Data!A201</f>
        <v>ORD-0200</v>
      </c>
      <c r="B201" s="8">
        <f>Raw_Data!B201</f>
        <v>45477</v>
      </c>
      <c r="C201" s="7" t="str">
        <f>TEXT(Raw_Data!B201,"MMM")</f>
        <v>Jul</v>
      </c>
      <c r="D201" s="7">
        <f>YEAR(Raw_Data!B201)</f>
        <v>2024</v>
      </c>
      <c r="E201" s="9" t="str">
        <f>Raw_Data!C201</f>
        <v>Meera Verma</v>
      </c>
      <c r="F201" s="7" t="str">
        <f>Raw_Data!D201</f>
        <v>Delhi</v>
      </c>
      <c r="G201" s="9" t="str">
        <f>Raw_Data!E201</f>
        <v>Otrivin Nasal Drops</v>
      </c>
      <c r="H201" s="7" t="str">
        <f>Raw_Data!F201</f>
        <v>Drops</v>
      </c>
      <c r="I201" s="7">
        <f>Raw_Data!G201</f>
        <v>7</v>
      </c>
      <c r="J201" s="10">
        <f>Raw_Data!H201</f>
        <v>95</v>
      </c>
      <c r="K201" s="10">
        <f>Raw_Data!I201</f>
        <v>42.75</v>
      </c>
      <c r="L201" s="10">
        <f>Raw_Data!J201</f>
        <v>665</v>
      </c>
      <c r="M201" s="11">
        <f>Raw_Data!K201</f>
        <v>0</v>
      </c>
      <c r="N201" s="10">
        <f>Raw_Data!L201</f>
        <v>665</v>
      </c>
      <c r="O201" s="10">
        <f t="shared" si="6"/>
        <v>365.75</v>
      </c>
      <c r="P201" s="14">
        <f t="shared" si="7"/>
        <v>0.55000000000000004</v>
      </c>
      <c r="Q201" s="7" t="str">
        <f>Raw_Data!M201</f>
        <v>Card</v>
      </c>
      <c r="R201" s="7" t="str">
        <f>Raw_Data!N201</f>
        <v>Yes</v>
      </c>
    </row>
    <row r="202" spans="1:18" x14ac:dyDescent="0.25">
      <c r="A202" s="2" t="str">
        <f>Raw_Data!A202</f>
        <v>ORD-0201</v>
      </c>
      <c r="B202" s="3">
        <f>Raw_Data!B202</f>
        <v>45585</v>
      </c>
      <c r="C202" s="2" t="str">
        <f>TEXT(Raw_Data!B202,"MMM")</f>
        <v>Oct</v>
      </c>
      <c r="D202" s="2">
        <f>YEAR(Raw_Data!B202)</f>
        <v>2024</v>
      </c>
      <c r="E202" s="4" t="str">
        <f>Raw_Data!C202</f>
        <v>Rekha Verma</v>
      </c>
      <c r="F202" s="2" t="str">
        <f>Raw_Data!D202</f>
        <v>Jaipur</v>
      </c>
      <c r="G202" s="4" t="str">
        <f>Raw_Data!E202</f>
        <v>Vitamin B12 Inj</v>
      </c>
      <c r="H202" s="2" t="str">
        <f>Raw_Data!F202</f>
        <v>Injection</v>
      </c>
      <c r="I202" s="2">
        <f>Raw_Data!G202</f>
        <v>5</v>
      </c>
      <c r="J202" s="5">
        <f>Raw_Data!H202</f>
        <v>60</v>
      </c>
      <c r="K202" s="5">
        <f>Raw_Data!I202</f>
        <v>36</v>
      </c>
      <c r="L202" s="5">
        <f>Raw_Data!J202</f>
        <v>300</v>
      </c>
      <c r="M202" s="6">
        <f>Raw_Data!K202</f>
        <v>0</v>
      </c>
      <c r="N202" s="5">
        <f>Raw_Data!L202</f>
        <v>300</v>
      </c>
      <c r="O202" s="5">
        <f t="shared" si="6"/>
        <v>120</v>
      </c>
      <c r="P202" s="13">
        <f t="shared" si="7"/>
        <v>0.4</v>
      </c>
      <c r="Q202" s="2" t="str">
        <f>Raw_Data!M202</f>
        <v>Card</v>
      </c>
      <c r="R202" s="2" t="str">
        <f>Raw_Data!N202</f>
        <v>Yes</v>
      </c>
    </row>
    <row r="203" spans="1:18" x14ac:dyDescent="0.25">
      <c r="A203" s="7" t="str">
        <f>Raw_Data!A203</f>
        <v>ORD-0202</v>
      </c>
      <c r="B203" s="8">
        <f>Raw_Data!B203</f>
        <v>45502</v>
      </c>
      <c r="C203" s="7" t="str">
        <f>TEXT(Raw_Data!B203,"MMM")</f>
        <v>Jul</v>
      </c>
      <c r="D203" s="7">
        <f>YEAR(Raw_Data!B203)</f>
        <v>2024</v>
      </c>
      <c r="E203" s="9" t="str">
        <f>Raw_Data!C203</f>
        <v>Sanjay Shah</v>
      </c>
      <c r="F203" s="7" t="str">
        <f>Raw_Data!D203</f>
        <v>Surat</v>
      </c>
      <c r="G203" s="9" t="str">
        <f>Raw_Data!E203</f>
        <v>Protein Supplement</v>
      </c>
      <c r="H203" s="7" t="str">
        <f>Raw_Data!F203</f>
        <v>Powder</v>
      </c>
      <c r="I203" s="7">
        <f>Raw_Data!G203</f>
        <v>3</v>
      </c>
      <c r="J203" s="10">
        <f>Raw_Data!H203</f>
        <v>450</v>
      </c>
      <c r="K203" s="10">
        <f>Raw_Data!I203</f>
        <v>247.5</v>
      </c>
      <c r="L203" s="10">
        <f>Raw_Data!J203</f>
        <v>1350</v>
      </c>
      <c r="M203" s="11">
        <f>Raw_Data!K203</f>
        <v>0</v>
      </c>
      <c r="N203" s="10">
        <f>Raw_Data!L203</f>
        <v>1350</v>
      </c>
      <c r="O203" s="10">
        <f t="shared" si="6"/>
        <v>607.5</v>
      </c>
      <c r="P203" s="14">
        <f t="shared" si="7"/>
        <v>0.45</v>
      </c>
      <c r="Q203" s="7" t="str">
        <f>Raw_Data!M203</f>
        <v>UPI</v>
      </c>
      <c r="R203" s="7" t="str">
        <f>Raw_Data!N203</f>
        <v>No</v>
      </c>
    </row>
    <row r="204" spans="1:18" x14ac:dyDescent="0.25">
      <c r="A204" s="2" t="str">
        <f>Raw_Data!A204</f>
        <v>ORD-0203</v>
      </c>
      <c r="B204" s="3">
        <f>Raw_Data!B204</f>
        <v>45640</v>
      </c>
      <c r="C204" s="2" t="str">
        <f>TEXT(Raw_Data!B204,"MMM")</f>
        <v>Dec</v>
      </c>
      <c r="D204" s="2">
        <f>YEAR(Raw_Data!B204)</f>
        <v>2024</v>
      </c>
      <c r="E204" s="4" t="str">
        <f>Raw_Data!C204</f>
        <v>Manish Nair</v>
      </c>
      <c r="F204" s="2" t="str">
        <f>Raw_Data!D204</f>
        <v>Bangalore</v>
      </c>
      <c r="G204" s="4" t="str">
        <f>Raw_Data!E204</f>
        <v>Cipla Eye Drops</v>
      </c>
      <c r="H204" s="2" t="str">
        <f>Raw_Data!F204</f>
        <v>Drops</v>
      </c>
      <c r="I204" s="2">
        <f>Raw_Data!G204</f>
        <v>18</v>
      </c>
      <c r="J204" s="5">
        <f>Raw_Data!H204</f>
        <v>70</v>
      </c>
      <c r="K204" s="5">
        <f>Raw_Data!I204</f>
        <v>31.5</v>
      </c>
      <c r="L204" s="5">
        <f>Raw_Data!J204</f>
        <v>1260</v>
      </c>
      <c r="M204" s="6">
        <f>Raw_Data!K204</f>
        <v>0</v>
      </c>
      <c r="N204" s="5">
        <f>Raw_Data!L204</f>
        <v>1260</v>
      </c>
      <c r="O204" s="5">
        <f t="shared" si="6"/>
        <v>693</v>
      </c>
      <c r="P204" s="13">
        <f t="shared" si="7"/>
        <v>0.55000000000000004</v>
      </c>
      <c r="Q204" s="2" t="str">
        <f>Raw_Data!M204</f>
        <v>Cash</v>
      </c>
      <c r="R204" s="2" t="str">
        <f>Raw_Data!N204</f>
        <v>No</v>
      </c>
    </row>
    <row r="205" spans="1:18" x14ac:dyDescent="0.25">
      <c r="A205" s="7" t="str">
        <f>Raw_Data!A205</f>
        <v>ORD-0204</v>
      </c>
      <c r="B205" s="8">
        <f>Raw_Data!B205</f>
        <v>45320</v>
      </c>
      <c r="C205" s="7" t="str">
        <f>TEXT(Raw_Data!B205,"MMM")</f>
        <v>Jan</v>
      </c>
      <c r="D205" s="7">
        <f>YEAR(Raw_Data!B205)</f>
        <v>2024</v>
      </c>
      <c r="E205" s="9" t="str">
        <f>Raw_Data!C205</f>
        <v>Deepa Joshi</v>
      </c>
      <c r="F205" s="7" t="str">
        <f>Raw_Data!D205</f>
        <v>Jaipur</v>
      </c>
      <c r="G205" s="9" t="str">
        <f>Raw_Data!E205</f>
        <v>ORS Electrolyte</v>
      </c>
      <c r="H205" s="7" t="str">
        <f>Raw_Data!F205</f>
        <v>Powder</v>
      </c>
      <c r="I205" s="7">
        <f>Raw_Data!G205</f>
        <v>5</v>
      </c>
      <c r="J205" s="10">
        <f>Raw_Data!H205</f>
        <v>30</v>
      </c>
      <c r="K205" s="10">
        <f>Raw_Data!I205</f>
        <v>16.5</v>
      </c>
      <c r="L205" s="10">
        <f>Raw_Data!J205</f>
        <v>150</v>
      </c>
      <c r="M205" s="11">
        <f>Raw_Data!K205</f>
        <v>5</v>
      </c>
      <c r="N205" s="10">
        <f>Raw_Data!L205</f>
        <v>142.5</v>
      </c>
      <c r="O205" s="10">
        <f t="shared" si="6"/>
        <v>67.5</v>
      </c>
      <c r="P205" s="14">
        <f t="shared" si="7"/>
        <v>0.45</v>
      </c>
      <c r="Q205" s="7" t="str">
        <f>Raw_Data!M205</f>
        <v>Card</v>
      </c>
      <c r="R205" s="7" t="str">
        <f>Raw_Data!N205</f>
        <v>No</v>
      </c>
    </row>
    <row r="206" spans="1:18" x14ac:dyDescent="0.25">
      <c r="A206" s="2" t="str">
        <f>Raw_Data!A206</f>
        <v>ORD-0205</v>
      </c>
      <c r="B206" s="3">
        <f>Raw_Data!B206</f>
        <v>45557</v>
      </c>
      <c r="C206" s="2" t="str">
        <f>TEXT(Raw_Data!B206,"MMM")</f>
        <v>Sep</v>
      </c>
      <c r="D206" s="2">
        <f>YEAR(Raw_Data!B206)</f>
        <v>2024</v>
      </c>
      <c r="E206" s="4" t="str">
        <f>Raw_Data!C206</f>
        <v>Nisha Verma</v>
      </c>
      <c r="F206" s="2" t="str">
        <f>Raw_Data!D206</f>
        <v>Chennai</v>
      </c>
      <c r="G206" s="4" t="str">
        <f>Raw_Data!E206</f>
        <v>Insulin Glargine</v>
      </c>
      <c r="H206" s="2" t="str">
        <f>Raw_Data!F206</f>
        <v>Injection</v>
      </c>
      <c r="I206" s="2">
        <f>Raw_Data!G206</f>
        <v>7</v>
      </c>
      <c r="J206" s="5">
        <f>Raw_Data!H206</f>
        <v>850</v>
      </c>
      <c r="K206" s="5">
        <f>Raw_Data!I206</f>
        <v>510</v>
      </c>
      <c r="L206" s="5">
        <f>Raw_Data!J206</f>
        <v>5950</v>
      </c>
      <c r="M206" s="6">
        <f>Raw_Data!K206</f>
        <v>20</v>
      </c>
      <c r="N206" s="5">
        <f>Raw_Data!L206</f>
        <v>4760</v>
      </c>
      <c r="O206" s="5">
        <f t="shared" si="6"/>
        <v>2380</v>
      </c>
      <c r="P206" s="13">
        <f t="shared" si="7"/>
        <v>0.4</v>
      </c>
      <c r="Q206" s="2" t="str">
        <f>Raw_Data!M206</f>
        <v>UPI</v>
      </c>
      <c r="R206" s="2" t="str">
        <f>Raw_Data!N206</f>
        <v>Yes</v>
      </c>
    </row>
    <row r="207" spans="1:18" x14ac:dyDescent="0.25">
      <c r="A207" s="7" t="str">
        <f>Raw_Data!A207</f>
        <v>ORD-0206</v>
      </c>
      <c r="B207" s="8">
        <f>Raw_Data!B207</f>
        <v>45339</v>
      </c>
      <c r="C207" s="7" t="str">
        <f>TEXT(Raw_Data!B207,"MMM")</f>
        <v>Feb</v>
      </c>
      <c r="D207" s="7">
        <f>YEAR(Raw_Data!B207)</f>
        <v>2024</v>
      </c>
      <c r="E207" s="9" t="str">
        <f>Raw_Data!C207</f>
        <v>Nisha Joshi</v>
      </c>
      <c r="F207" s="7" t="str">
        <f>Raw_Data!D207</f>
        <v>Bangalore</v>
      </c>
      <c r="G207" s="9" t="str">
        <f>Raw_Data!E207</f>
        <v>Refresh Tears</v>
      </c>
      <c r="H207" s="7" t="str">
        <f>Raw_Data!F207</f>
        <v>Drops</v>
      </c>
      <c r="I207" s="7">
        <f>Raw_Data!G207</f>
        <v>19</v>
      </c>
      <c r="J207" s="10">
        <f>Raw_Data!H207</f>
        <v>110</v>
      </c>
      <c r="K207" s="10">
        <f>Raw_Data!I207</f>
        <v>49.5</v>
      </c>
      <c r="L207" s="10">
        <f>Raw_Data!J207</f>
        <v>2090</v>
      </c>
      <c r="M207" s="11">
        <f>Raw_Data!K207</f>
        <v>0</v>
      </c>
      <c r="N207" s="10">
        <f>Raw_Data!L207</f>
        <v>2090</v>
      </c>
      <c r="O207" s="10">
        <f t="shared" si="6"/>
        <v>1149.5</v>
      </c>
      <c r="P207" s="14">
        <f t="shared" si="7"/>
        <v>0.55000000000000004</v>
      </c>
      <c r="Q207" s="7" t="str">
        <f>Raw_Data!M207</f>
        <v>UPI</v>
      </c>
      <c r="R207" s="7" t="str">
        <f>Raw_Data!N207</f>
        <v>Yes</v>
      </c>
    </row>
    <row r="208" spans="1:18" x14ac:dyDescent="0.25">
      <c r="A208" s="2" t="str">
        <f>Raw_Data!A208</f>
        <v>ORD-0207</v>
      </c>
      <c r="B208" s="3">
        <f>Raw_Data!B208</f>
        <v>45580</v>
      </c>
      <c r="C208" s="2" t="str">
        <f>TEXT(Raw_Data!B208,"MMM")</f>
        <v>Oct</v>
      </c>
      <c r="D208" s="2">
        <f>YEAR(Raw_Data!B208)</f>
        <v>2024</v>
      </c>
      <c r="E208" s="4" t="str">
        <f>Raw_Data!C208</f>
        <v>Pooja Rao</v>
      </c>
      <c r="F208" s="2" t="str">
        <f>Raw_Data!D208</f>
        <v>Delhi</v>
      </c>
      <c r="G208" s="4" t="str">
        <f>Raw_Data!E208</f>
        <v>Paracetamol 500mg</v>
      </c>
      <c r="H208" s="2" t="str">
        <f>Raw_Data!F208</f>
        <v>Tablet</v>
      </c>
      <c r="I208" s="2">
        <f>Raw_Data!G208</f>
        <v>2</v>
      </c>
      <c r="J208" s="5">
        <f>Raw_Data!H208</f>
        <v>20</v>
      </c>
      <c r="K208" s="5">
        <f>Raw_Data!I208</f>
        <v>10.4</v>
      </c>
      <c r="L208" s="5">
        <f>Raw_Data!J208</f>
        <v>40</v>
      </c>
      <c r="M208" s="6">
        <f>Raw_Data!K208</f>
        <v>5</v>
      </c>
      <c r="N208" s="5">
        <f>Raw_Data!L208</f>
        <v>38</v>
      </c>
      <c r="O208" s="5">
        <f t="shared" si="6"/>
        <v>19.2</v>
      </c>
      <c r="P208" s="13">
        <f t="shared" si="7"/>
        <v>0.48</v>
      </c>
      <c r="Q208" s="2" t="str">
        <f>Raw_Data!M208</f>
        <v>UPI</v>
      </c>
      <c r="R208" s="2" t="str">
        <f>Raw_Data!N208</f>
        <v>No</v>
      </c>
    </row>
    <row r="209" spans="1:18" x14ac:dyDescent="0.25">
      <c r="A209" s="7" t="str">
        <f>Raw_Data!A209</f>
        <v>ORD-0208</v>
      </c>
      <c r="B209" s="8">
        <f>Raw_Data!B209</f>
        <v>45619</v>
      </c>
      <c r="C209" s="7" t="str">
        <f>TEXT(Raw_Data!B209,"MMM")</f>
        <v>Nov</v>
      </c>
      <c r="D209" s="7">
        <f>YEAR(Raw_Data!B209)</f>
        <v>2024</v>
      </c>
      <c r="E209" s="9" t="str">
        <f>Raw_Data!C209</f>
        <v>Nikhil Kumar</v>
      </c>
      <c r="F209" s="7" t="str">
        <f>Raw_Data!D209</f>
        <v>Jaipur</v>
      </c>
      <c r="G209" s="9" t="str">
        <f>Raw_Data!E209</f>
        <v>Pantoprazole 40mg</v>
      </c>
      <c r="H209" s="7" t="str">
        <f>Raw_Data!F209</f>
        <v>Tablet</v>
      </c>
      <c r="I209" s="7">
        <f>Raw_Data!G209</f>
        <v>10</v>
      </c>
      <c r="J209" s="10">
        <f>Raw_Data!H209</f>
        <v>75</v>
      </c>
      <c r="K209" s="10">
        <f>Raw_Data!I209</f>
        <v>39</v>
      </c>
      <c r="L209" s="10">
        <f>Raw_Data!J209</f>
        <v>750</v>
      </c>
      <c r="M209" s="11">
        <f>Raw_Data!K209</f>
        <v>5</v>
      </c>
      <c r="N209" s="10">
        <f>Raw_Data!L209</f>
        <v>712.5</v>
      </c>
      <c r="O209" s="10">
        <f t="shared" si="6"/>
        <v>360</v>
      </c>
      <c r="P209" s="14">
        <f t="shared" si="7"/>
        <v>0.48</v>
      </c>
      <c r="Q209" s="7" t="str">
        <f>Raw_Data!M209</f>
        <v>UPI</v>
      </c>
      <c r="R209" s="7" t="str">
        <f>Raw_Data!N209</f>
        <v>Yes</v>
      </c>
    </row>
    <row r="210" spans="1:18" x14ac:dyDescent="0.25">
      <c r="A210" s="2" t="str">
        <f>Raw_Data!A210</f>
        <v>ORD-0209</v>
      </c>
      <c r="B210" s="3">
        <f>Raw_Data!B210</f>
        <v>45524</v>
      </c>
      <c r="C210" s="2" t="str">
        <f>TEXT(Raw_Data!B210,"MMM")</f>
        <v>Aug</v>
      </c>
      <c r="D210" s="2">
        <f>YEAR(Raw_Data!B210)</f>
        <v>2024</v>
      </c>
      <c r="E210" s="4" t="str">
        <f>Raw_Data!C210</f>
        <v>Nisha Gupta</v>
      </c>
      <c r="F210" s="2" t="str">
        <f>Raw_Data!D210</f>
        <v>Bangalore</v>
      </c>
      <c r="G210" s="4" t="str">
        <f>Raw_Data!E210</f>
        <v>Paracetamol 500mg</v>
      </c>
      <c r="H210" s="2" t="str">
        <f>Raw_Data!F210</f>
        <v>Tablet</v>
      </c>
      <c r="I210" s="2">
        <f>Raw_Data!G210</f>
        <v>15</v>
      </c>
      <c r="J210" s="5">
        <f>Raw_Data!H210</f>
        <v>20</v>
      </c>
      <c r="K210" s="5">
        <f>Raw_Data!I210</f>
        <v>10.4</v>
      </c>
      <c r="L210" s="5">
        <f>Raw_Data!J210</f>
        <v>300</v>
      </c>
      <c r="M210" s="6">
        <f>Raw_Data!K210</f>
        <v>10</v>
      </c>
      <c r="N210" s="5">
        <f>Raw_Data!L210</f>
        <v>270</v>
      </c>
      <c r="O210" s="5">
        <f t="shared" si="6"/>
        <v>144</v>
      </c>
      <c r="P210" s="13">
        <f t="shared" si="7"/>
        <v>0.48</v>
      </c>
      <c r="Q210" s="2" t="str">
        <f>Raw_Data!M210</f>
        <v>Cash</v>
      </c>
      <c r="R210" s="2" t="str">
        <f>Raw_Data!N210</f>
        <v>Yes</v>
      </c>
    </row>
    <row r="211" spans="1:18" x14ac:dyDescent="0.25">
      <c r="A211" s="7" t="str">
        <f>Raw_Data!A211</f>
        <v>ORD-0210</v>
      </c>
      <c r="B211" s="8">
        <f>Raw_Data!B211</f>
        <v>45452</v>
      </c>
      <c r="C211" s="7" t="str">
        <f>TEXT(Raw_Data!B211,"MMM")</f>
        <v>Jun</v>
      </c>
      <c r="D211" s="7">
        <f>YEAR(Raw_Data!B211)</f>
        <v>2024</v>
      </c>
      <c r="E211" s="9" t="str">
        <f>Raw_Data!C211</f>
        <v>Swati Patel</v>
      </c>
      <c r="F211" s="7" t="str">
        <f>Raw_Data!D211</f>
        <v>Pune</v>
      </c>
      <c r="G211" s="9" t="str">
        <f>Raw_Data!E211</f>
        <v>Antifungal Powder</v>
      </c>
      <c r="H211" s="7" t="str">
        <f>Raw_Data!F211</f>
        <v>Powder</v>
      </c>
      <c r="I211" s="7">
        <f>Raw_Data!G211</f>
        <v>12</v>
      </c>
      <c r="J211" s="10">
        <f>Raw_Data!H211</f>
        <v>55</v>
      </c>
      <c r="K211" s="10">
        <f>Raw_Data!I211</f>
        <v>30.25</v>
      </c>
      <c r="L211" s="10">
        <f>Raw_Data!J211</f>
        <v>660</v>
      </c>
      <c r="M211" s="11">
        <f>Raw_Data!K211</f>
        <v>10</v>
      </c>
      <c r="N211" s="10">
        <f>Raw_Data!L211</f>
        <v>594</v>
      </c>
      <c r="O211" s="10">
        <f t="shared" si="6"/>
        <v>297</v>
      </c>
      <c r="P211" s="14">
        <f t="shared" si="7"/>
        <v>0.45</v>
      </c>
      <c r="Q211" s="7" t="str">
        <f>Raw_Data!M211</f>
        <v>Card</v>
      </c>
      <c r="R211" s="7" t="str">
        <f>Raw_Data!N211</f>
        <v>No</v>
      </c>
    </row>
    <row r="212" spans="1:18" x14ac:dyDescent="0.25">
      <c r="A212" s="2" t="str">
        <f>Raw_Data!A212</f>
        <v>ORD-0211</v>
      </c>
      <c r="B212" s="3">
        <f>Raw_Data!B212</f>
        <v>45455</v>
      </c>
      <c r="C212" s="2" t="str">
        <f>TEXT(Raw_Data!B212,"MMM")</f>
        <v>Jun</v>
      </c>
      <c r="D212" s="2">
        <f>YEAR(Raw_Data!B212)</f>
        <v>2024</v>
      </c>
      <c r="E212" s="4" t="str">
        <f>Raw_Data!C212</f>
        <v>Kavita Mehta</v>
      </c>
      <c r="F212" s="2" t="str">
        <f>Raw_Data!D212</f>
        <v>Delhi</v>
      </c>
      <c r="G212" s="4" t="str">
        <f>Raw_Data!E212</f>
        <v>Cetirizine Syrup</v>
      </c>
      <c r="H212" s="2" t="str">
        <f>Raw_Data!F212</f>
        <v>Syrup</v>
      </c>
      <c r="I212" s="2">
        <f>Raw_Data!G212</f>
        <v>9</v>
      </c>
      <c r="J212" s="5">
        <f>Raw_Data!H212</f>
        <v>55</v>
      </c>
      <c r="K212" s="5">
        <f>Raw_Data!I212</f>
        <v>26.4</v>
      </c>
      <c r="L212" s="5">
        <f>Raw_Data!J212</f>
        <v>495</v>
      </c>
      <c r="M212" s="6">
        <f>Raw_Data!K212</f>
        <v>15</v>
      </c>
      <c r="N212" s="5">
        <f>Raw_Data!L212</f>
        <v>420.75</v>
      </c>
      <c r="O212" s="5">
        <f t="shared" si="6"/>
        <v>257.39999999999998</v>
      </c>
      <c r="P212" s="13">
        <f t="shared" si="7"/>
        <v>0.51999999999999991</v>
      </c>
      <c r="Q212" s="2" t="str">
        <f>Raw_Data!M212</f>
        <v>Cash</v>
      </c>
      <c r="R212" s="2" t="str">
        <f>Raw_Data!N212</f>
        <v>Yes</v>
      </c>
    </row>
    <row r="213" spans="1:18" x14ac:dyDescent="0.25">
      <c r="A213" s="7" t="str">
        <f>Raw_Data!A213</f>
        <v>ORD-0212</v>
      </c>
      <c r="B213" s="8">
        <f>Raw_Data!B213</f>
        <v>45607</v>
      </c>
      <c r="C213" s="7" t="str">
        <f>TEXT(Raw_Data!B213,"MMM")</f>
        <v>Nov</v>
      </c>
      <c r="D213" s="7">
        <f>YEAR(Raw_Data!B213)</f>
        <v>2024</v>
      </c>
      <c r="E213" s="9" t="str">
        <f>Raw_Data!C213</f>
        <v>Manish Shah</v>
      </c>
      <c r="F213" s="7" t="str">
        <f>Raw_Data!D213</f>
        <v>Bangalore</v>
      </c>
      <c r="G213" s="9" t="str">
        <f>Raw_Data!E213</f>
        <v>Doxycycline 100mg</v>
      </c>
      <c r="H213" s="7" t="str">
        <f>Raw_Data!F213</f>
        <v>Capsule</v>
      </c>
      <c r="I213" s="7">
        <f>Raw_Data!G213</f>
        <v>11</v>
      </c>
      <c r="J213" s="10">
        <f>Raw_Data!H213</f>
        <v>90</v>
      </c>
      <c r="K213" s="10">
        <f>Raw_Data!I213</f>
        <v>45</v>
      </c>
      <c r="L213" s="10">
        <f>Raw_Data!J213</f>
        <v>990</v>
      </c>
      <c r="M213" s="11">
        <f>Raw_Data!K213</f>
        <v>10</v>
      </c>
      <c r="N213" s="10">
        <f>Raw_Data!L213</f>
        <v>891</v>
      </c>
      <c r="O213" s="10">
        <f t="shared" si="6"/>
        <v>495</v>
      </c>
      <c r="P213" s="14">
        <f t="shared" si="7"/>
        <v>0.5</v>
      </c>
      <c r="Q213" s="7" t="str">
        <f>Raw_Data!M213</f>
        <v>Cash</v>
      </c>
      <c r="R213" s="7" t="str">
        <f>Raw_Data!N213</f>
        <v>Yes</v>
      </c>
    </row>
    <row r="214" spans="1:18" x14ac:dyDescent="0.25">
      <c r="A214" s="2" t="str">
        <f>Raw_Data!A214</f>
        <v>ORD-0213</v>
      </c>
      <c r="B214" s="3">
        <f>Raw_Data!B214</f>
        <v>45547</v>
      </c>
      <c r="C214" s="2" t="str">
        <f>TEXT(Raw_Data!B214,"MMM")</f>
        <v>Sep</v>
      </c>
      <c r="D214" s="2">
        <f>YEAR(Raw_Data!B214)</f>
        <v>2024</v>
      </c>
      <c r="E214" s="4" t="str">
        <f>Raw_Data!C214</f>
        <v>Rohit Rao</v>
      </c>
      <c r="F214" s="2" t="str">
        <f>Raw_Data!D214</f>
        <v>Mumbai</v>
      </c>
      <c r="G214" s="4" t="str">
        <f>Raw_Data!E214</f>
        <v>Vitamin B12 Inj</v>
      </c>
      <c r="H214" s="2" t="str">
        <f>Raw_Data!F214</f>
        <v>Injection</v>
      </c>
      <c r="I214" s="2">
        <f>Raw_Data!G214</f>
        <v>3</v>
      </c>
      <c r="J214" s="5">
        <f>Raw_Data!H214</f>
        <v>60</v>
      </c>
      <c r="K214" s="5">
        <f>Raw_Data!I214</f>
        <v>36</v>
      </c>
      <c r="L214" s="5">
        <f>Raw_Data!J214</f>
        <v>180</v>
      </c>
      <c r="M214" s="6">
        <f>Raw_Data!K214</f>
        <v>10</v>
      </c>
      <c r="N214" s="5">
        <f>Raw_Data!L214</f>
        <v>162</v>
      </c>
      <c r="O214" s="5">
        <f t="shared" si="6"/>
        <v>72</v>
      </c>
      <c r="P214" s="13">
        <f t="shared" si="7"/>
        <v>0.4</v>
      </c>
      <c r="Q214" s="2" t="str">
        <f>Raw_Data!M214</f>
        <v>UPI</v>
      </c>
      <c r="R214" s="2" t="str">
        <f>Raw_Data!N214</f>
        <v>Yes</v>
      </c>
    </row>
    <row r="215" spans="1:18" x14ac:dyDescent="0.25">
      <c r="A215" s="7" t="str">
        <f>Raw_Data!A215</f>
        <v>ORD-0214</v>
      </c>
      <c r="B215" s="8">
        <f>Raw_Data!B215</f>
        <v>45472</v>
      </c>
      <c r="C215" s="7" t="str">
        <f>TEXT(Raw_Data!B215,"MMM")</f>
        <v>Jun</v>
      </c>
      <c r="D215" s="7">
        <f>YEAR(Raw_Data!B215)</f>
        <v>2024</v>
      </c>
      <c r="E215" s="9" t="str">
        <f>Raw_Data!C215</f>
        <v>Sunita Mehta</v>
      </c>
      <c r="F215" s="7" t="str">
        <f>Raw_Data!D215</f>
        <v>Chennai</v>
      </c>
      <c r="G215" s="9" t="str">
        <f>Raw_Data!E215</f>
        <v>Paracetamol 500mg</v>
      </c>
      <c r="H215" s="7" t="str">
        <f>Raw_Data!F215</f>
        <v>Tablet</v>
      </c>
      <c r="I215" s="7">
        <f>Raw_Data!G215</f>
        <v>16</v>
      </c>
      <c r="J215" s="10">
        <f>Raw_Data!H215</f>
        <v>20</v>
      </c>
      <c r="K215" s="10">
        <f>Raw_Data!I215</f>
        <v>10.4</v>
      </c>
      <c r="L215" s="10">
        <f>Raw_Data!J215</f>
        <v>320</v>
      </c>
      <c r="M215" s="11">
        <f>Raw_Data!K215</f>
        <v>15</v>
      </c>
      <c r="N215" s="10">
        <f>Raw_Data!L215</f>
        <v>272</v>
      </c>
      <c r="O215" s="10">
        <f t="shared" si="6"/>
        <v>153.6</v>
      </c>
      <c r="P215" s="14">
        <f t="shared" si="7"/>
        <v>0.48</v>
      </c>
      <c r="Q215" s="7" t="str">
        <f>Raw_Data!M215</f>
        <v>Cash</v>
      </c>
      <c r="R215" s="7" t="str">
        <f>Raw_Data!N215</f>
        <v>Yes</v>
      </c>
    </row>
    <row r="216" spans="1:18" x14ac:dyDescent="0.25">
      <c r="A216" s="2" t="str">
        <f>Raw_Data!A216</f>
        <v>ORD-0215</v>
      </c>
      <c r="B216" s="3">
        <f>Raw_Data!B216</f>
        <v>45360</v>
      </c>
      <c r="C216" s="2" t="str">
        <f>TEXT(Raw_Data!B216,"MMM")</f>
        <v>Mar</v>
      </c>
      <c r="D216" s="2">
        <f>YEAR(Raw_Data!B216)</f>
        <v>2024</v>
      </c>
      <c r="E216" s="4" t="str">
        <f>Raw_Data!C216</f>
        <v>Rohit Joshi</v>
      </c>
      <c r="F216" s="2" t="str">
        <f>Raw_Data!D216</f>
        <v>Kolkata</v>
      </c>
      <c r="G216" s="4" t="str">
        <f>Raw_Data!E216</f>
        <v>Dexamethasone Inj</v>
      </c>
      <c r="H216" s="2" t="str">
        <f>Raw_Data!F216</f>
        <v>Injection</v>
      </c>
      <c r="I216" s="2">
        <f>Raw_Data!G216</f>
        <v>12</v>
      </c>
      <c r="J216" s="5">
        <f>Raw_Data!H216</f>
        <v>95</v>
      </c>
      <c r="K216" s="5">
        <f>Raw_Data!I216</f>
        <v>57</v>
      </c>
      <c r="L216" s="5">
        <f>Raw_Data!J216</f>
        <v>1140</v>
      </c>
      <c r="M216" s="6">
        <f>Raw_Data!K216</f>
        <v>0</v>
      </c>
      <c r="N216" s="5">
        <f>Raw_Data!L216</f>
        <v>1140</v>
      </c>
      <c r="O216" s="5">
        <f t="shared" si="6"/>
        <v>456</v>
      </c>
      <c r="P216" s="13">
        <f t="shared" si="7"/>
        <v>0.4</v>
      </c>
      <c r="Q216" s="2" t="str">
        <f>Raw_Data!M216</f>
        <v>Card</v>
      </c>
      <c r="R216" s="2" t="str">
        <f>Raw_Data!N216</f>
        <v>Yes</v>
      </c>
    </row>
    <row r="217" spans="1:18" x14ac:dyDescent="0.25">
      <c r="A217" s="7" t="str">
        <f>Raw_Data!A217</f>
        <v>ORD-0216</v>
      </c>
      <c r="B217" s="8">
        <f>Raw_Data!B217</f>
        <v>45575</v>
      </c>
      <c r="C217" s="7" t="str">
        <f>TEXT(Raw_Data!B217,"MMM")</f>
        <v>Oct</v>
      </c>
      <c r="D217" s="7">
        <f>YEAR(Raw_Data!B217)</f>
        <v>2024</v>
      </c>
      <c r="E217" s="9" t="str">
        <f>Raw_Data!C217</f>
        <v>Nisha Agarwal</v>
      </c>
      <c r="F217" s="7" t="str">
        <f>Raw_Data!D217</f>
        <v>Kolkata</v>
      </c>
      <c r="G217" s="9" t="str">
        <f>Raw_Data!E217</f>
        <v>Insulin Glargine</v>
      </c>
      <c r="H217" s="7" t="str">
        <f>Raw_Data!F217</f>
        <v>Injection</v>
      </c>
      <c r="I217" s="7">
        <f>Raw_Data!G217</f>
        <v>17</v>
      </c>
      <c r="J217" s="10">
        <f>Raw_Data!H217</f>
        <v>850</v>
      </c>
      <c r="K217" s="10">
        <f>Raw_Data!I217</f>
        <v>510</v>
      </c>
      <c r="L217" s="10">
        <f>Raw_Data!J217</f>
        <v>14450</v>
      </c>
      <c r="M217" s="11">
        <f>Raw_Data!K217</f>
        <v>15</v>
      </c>
      <c r="N217" s="10">
        <f>Raw_Data!L217</f>
        <v>12282.5</v>
      </c>
      <c r="O217" s="10">
        <f t="shared" si="6"/>
        <v>5780</v>
      </c>
      <c r="P217" s="14">
        <f t="shared" si="7"/>
        <v>0.4</v>
      </c>
      <c r="Q217" s="7" t="str">
        <f>Raw_Data!M217</f>
        <v>Cash</v>
      </c>
      <c r="R217" s="7" t="str">
        <f>Raw_Data!N217</f>
        <v>Yes</v>
      </c>
    </row>
    <row r="218" spans="1:18" x14ac:dyDescent="0.25">
      <c r="A218" s="2" t="str">
        <f>Raw_Data!A218</f>
        <v>ORD-0217</v>
      </c>
      <c r="B218" s="3">
        <f>Raw_Data!B218</f>
        <v>45604</v>
      </c>
      <c r="C218" s="2" t="str">
        <f>TEXT(Raw_Data!B218,"MMM")</f>
        <v>Nov</v>
      </c>
      <c r="D218" s="2">
        <f>YEAR(Raw_Data!B218)</f>
        <v>2024</v>
      </c>
      <c r="E218" s="4" t="str">
        <f>Raw_Data!C218</f>
        <v>Meera Dubey</v>
      </c>
      <c r="F218" s="2" t="str">
        <f>Raw_Data!D218</f>
        <v>Delhi</v>
      </c>
      <c r="G218" s="4" t="str">
        <f>Raw_Data!E218</f>
        <v>Metformin 500mg</v>
      </c>
      <c r="H218" s="2" t="str">
        <f>Raw_Data!F218</f>
        <v>Tablet</v>
      </c>
      <c r="I218" s="2">
        <f>Raw_Data!G218</f>
        <v>13</v>
      </c>
      <c r="J218" s="5">
        <f>Raw_Data!H218</f>
        <v>45</v>
      </c>
      <c r="K218" s="5">
        <f>Raw_Data!I218</f>
        <v>23.4</v>
      </c>
      <c r="L218" s="5">
        <f>Raw_Data!J218</f>
        <v>585</v>
      </c>
      <c r="M218" s="6">
        <f>Raw_Data!K218</f>
        <v>10</v>
      </c>
      <c r="N218" s="5">
        <f>Raw_Data!L218</f>
        <v>526.5</v>
      </c>
      <c r="O218" s="5">
        <f t="shared" si="6"/>
        <v>280.8</v>
      </c>
      <c r="P218" s="13">
        <f t="shared" si="7"/>
        <v>0.48000000000000004</v>
      </c>
      <c r="Q218" s="2" t="str">
        <f>Raw_Data!M218</f>
        <v>Card</v>
      </c>
      <c r="R218" s="2" t="str">
        <f>Raw_Data!N218</f>
        <v>No</v>
      </c>
    </row>
    <row r="219" spans="1:18" x14ac:dyDescent="0.25">
      <c r="A219" s="7" t="str">
        <f>Raw_Data!A219</f>
        <v>ORD-0218</v>
      </c>
      <c r="B219" s="8">
        <f>Raw_Data!B219</f>
        <v>45365</v>
      </c>
      <c r="C219" s="7" t="str">
        <f>TEXT(Raw_Data!B219,"MMM")</f>
        <v>Mar</v>
      </c>
      <c r="D219" s="7">
        <f>YEAR(Raw_Data!B219)</f>
        <v>2024</v>
      </c>
      <c r="E219" s="9" t="str">
        <f>Raw_Data!C219</f>
        <v>Arjun Dubey</v>
      </c>
      <c r="F219" s="7" t="str">
        <f>Raw_Data!D219</f>
        <v>Jaipur</v>
      </c>
      <c r="G219" s="9" t="str">
        <f>Raw_Data!E219</f>
        <v>Antacid Syrup</v>
      </c>
      <c r="H219" s="7" t="str">
        <f>Raw_Data!F219</f>
        <v>Syrup</v>
      </c>
      <c r="I219" s="7">
        <f>Raw_Data!G219</f>
        <v>13</v>
      </c>
      <c r="J219" s="10">
        <f>Raw_Data!H219</f>
        <v>80</v>
      </c>
      <c r="K219" s="10">
        <f>Raw_Data!I219</f>
        <v>38.4</v>
      </c>
      <c r="L219" s="10">
        <f>Raw_Data!J219</f>
        <v>1040</v>
      </c>
      <c r="M219" s="11">
        <f>Raw_Data!K219</f>
        <v>20</v>
      </c>
      <c r="N219" s="10">
        <f>Raw_Data!L219</f>
        <v>832</v>
      </c>
      <c r="O219" s="10">
        <f t="shared" si="6"/>
        <v>540.79999999999995</v>
      </c>
      <c r="P219" s="14">
        <f t="shared" si="7"/>
        <v>0.51999999999999991</v>
      </c>
      <c r="Q219" s="7" t="str">
        <f>Raw_Data!M219</f>
        <v>Cash</v>
      </c>
      <c r="R219" s="7" t="str">
        <f>Raw_Data!N219</f>
        <v>Yes</v>
      </c>
    </row>
    <row r="220" spans="1:18" x14ac:dyDescent="0.25">
      <c r="A220" s="2" t="str">
        <f>Raw_Data!A220</f>
        <v>ORD-0219</v>
      </c>
      <c r="B220" s="3">
        <f>Raw_Data!B220</f>
        <v>45534</v>
      </c>
      <c r="C220" s="2" t="str">
        <f>TEXT(Raw_Data!B220,"MMM")</f>
        <v>Aug</v>
      </c>
      <c r="D220" s="2">
        <f>YEAR(Raw_Data!B220)</f>
        <v>2024</v>
      </c>
      <c r="E220" s="4" t="str">
        <f>Raw_Data!C220</f>
        <v>Arjun Gupta</v>
      </c>
      <c r="F220" s="2" t="str">
        <f>Raw_Data!D220</f>
        <v>Bangalore</v>
      </c>
      <c r="G220" s="4" t="str">
        <f>Raw_Data!E220</f>
        <v>Cipla Eye Drops</v>
      </c>
      <c r="H220" s="2" t="str">
        <f>Raw_Data!F220</f>
        <v>Drops</v>
      </c>
      <c r="I220" s="2">
        <f>Raw_Data!G220</f>
        <v>20</v>
      </c>
      <c r="J220" s="5">
        <f>Raw_Data!H220</f>
        <v>70</v>
      </c>
      <c r="K220" s="5">
        <f>Raw_Data!I220</f>
        <v>31.5</v>
      </c>
      <c r="L220" s="5">
        <f>Raw_Data!J220</f>
        <v>1400</v>
      </c>
      <c r="M220" s="6">
        <f>Raw_Data!K220</f>
        <v>20</v>
      </c>
      <c r="N220" s="5">
        <f>Raw_Data!L220</f>
        <v>1120</v>
      </c>
      <c r="O220" s="5">
        <f t="shared" si="6"/>
        <v>770</v>
      </c>
      <c r="P220" s="13">
        <f t="shared" si="7"/>
        <v>0.55000000000000004</v>
      </c>
      <c r="Q220" s="2" t="str">
        <f>Raw_Data!M220</f>
        <v>UPI</v>
      </c>
      <c r="R220" s="2" t="str">
        <f>Raw_Data!N220</f>
        <v>Yes</v>
      </c>
    </row>
    <row r="221" spans="1:18" x14ac:dyDescent="0.25">
      <c r="A221" s="7" t="str">
        <f>Raw_Data!A221</f>
        <v>ORD-0220</v>
      </c>
      <c r="B221" s="8">
        <f>Raw_Data!B221</f>
        <v>45493</v>
      </c>
      <c r="C221" s="7" t="str">
        <f>TEXT(Raw_Data!B221,"MMM")</f>
        <v>Jul</v>
      </c>
      <c r="D221" s="7">
        <f>YEAR(Raw_Data!B221)</f>
        <v>2024</v>
      </c>
      <c r="E221" s="9" t="str">
        <f>Raw_Data!C221</f>
        <v>Rekha Tiwari</v>
      </c>
      <c r="F221" s="7" t="str">
        <f>Raw_Data!D221</f>
        <v>Chennai</v>
      </c>
      <c r="G221" s="9" t="str">
        <f>Raw_Data!E221</f>
        <v>Refresh Tears</v>
      </c>
      <c r="H221" s="7" t="str">
        <f>Raw_Data!F221</f>
        <v>Drops</v>
      </c>
      <c r="I221" s="7">
        <f>Raw_Data!G221</f>
        <v>19</v>
      </c>
      <c r="J221" s="10">
        <f>Raw_Data!H221</f>
        <v>110</v>
      </c>
      <c r="K221" s="10">
        <f>Raw_Data!I221</f>
        <v>49.5</v>
      </c>
      <c r="L221" s="10">
        <f>Raw_Data!J221</f>
        <v>2090</v>
      </c>
      <c r="M221" s="11">
        <f>Raw_Data!K221</f>
        <v>10</v>
      </c>
      <c r="N221" s="10">
        <f>Raw_Data!L221</f>
        <v>1881</v>
      </c>
      <c r="O221" s="10">
        <f t="shared" si="6"/>
        <v>1149.5</v>
      </c>
      <c r="P221" s="14">
        <f t="shared" si="7"/>
        <v>0.55000000000000004</v>
      </c>
      <c r="Q221" s="7" t="str">
        <f>Raw_Data!M221</f>
        <v>Card</v>
      </c>
      <c r="R221" s="7" t="str">
        <f>Raw_Data!N221</f>
        <v>No</v>
      </c>
    </row>
    <row r="222" spans="1:18" x14ac:dyDescent="0.25">
      <c r="A222" s="2" t="str">
        <f>Raw_Data!A222</f>
        <v>ORD-0221</v>
      </c>
      <c r="B222" s="3">
        <f>Raw_Data!B222</f>
        <v>45580</v>
      </c>
      <c r="C222" s="2" t="str">
        <f>TEXT(Raw_Data!B222,"MMM")</f>
        <v>Oct</v>
      </c>
      <c r="D222" s="2">
        <f>YEAR(Raw_Data!B222)</f>
        <v>2024</v>
      </c>
      <c r="E222" s="4" t="str">
        <f>Raw_Data!C222</f>
        <v>Vijay Kumar</v>
      </c>
      <c r="F222" s="2" t="str">
        <f>Raw_Data!D222</f>
        <v>Mumbai</v>
      </c>
      <c r="G222" s="4" t="str">
        <f>Raw_Data!E222</f>
        <v>Vitamin B12 Inj</v>
      </c>
      <c r="H222" s="2" t="str">
        <f>Raw_Data!F222</f>
        <v>Injection</v>
      </c>
      <c r="I222" s="2">
        <f>Raw_Data!G222</f>
        <v>12</v>
      </c>
      <c r="J222" s="5">
        <f>Raw_Data!H222</f>
        <v>60</v>
      </c>
      <c r="K222" s="5">
        <f>Raw_Data!I222</f>
        <v>36</v>
      </c>
      <c r="L222" s="5">
        <f>Raw_Data!J222</f>
        <v>720</v>
      </c>
      <c r="M222" s="6">
        <f>Raw_Data!K222</f>
        <v>10</v>
      </c>
      <c r="N222" s="5">
        <f>Raw_Data!L222</f>
        <v>648</v>
      </c>
      <c r="O222" s="5">
        <f t="shared" si="6"/>
        <v>288</v>
      </c>
      <c r="P222" s="13">
        <f t="shared" si="7"/>
        <v>0.4</v>
      </c>
      <c r="Q222" s="2" t="str">
        <f>Raw_Data!M222</f>
        <v>UPI</v>
      </c>
      <c r="R222" s="2" t="str">
        <f>Raw_Data!N222</f>
        <v>Yes</v>
      </c>
    </row>
    <row r="223" spans="1:18" x14ac:dyDescent="0.25">
      <c r="A223" s="7" t="str">
        <f>Raw_Data!A223</f>
        <v>ORD-0222</v>
      </c>
      <c r="B223" s="8">
        <f>Raw_Data!B223</f>
        <v>45644</v>
      </c>
      <c r="C223" s="7" t="str">
        <f>TEXT(Raw_Data!B223,"MMM")</f>
        <v>Dec</v>
      </c>
      <c r="D223" s="7">
        <f>YEAR(Raw_Data!B223)</f>
        <v>2024</v>
      </c>
      <c r="E223" s="9" t="str">
        <f>Raw_Data!C223</f>
        <v>Vijay Rao</v>
      </c>
      <c r="F223" s="7" t="str">
        <f>Raw_Data!D223</f>
        <v>Surat</v>
      </c>
      <c r="G223" s="9" t="str">
        <f>Raw_Data!E223</f>
        <v>Betadine Cream</v>
      </c>
      <c r="H223" s="7" t="str">
        <f>Raw_Data!F223</f>
        <v>Cream</v>
      </c>
      <c r="I223" s="7">
        <f>Raw_Data!G223</f>
        <v>16</v>
      </c>
      <c r="J223" s="10">
        <f>Raw_Data!H223</f>
        <v>85</v>
      </c>
      <c r="K223" s="10">
        <f>Raw_Data!I223</f>
        <v>39.950000000000003</v>
      </c>
      <c r="L223" s="10">
        <f>Raw_Data!J223</f>
        <v>1360</v>
      </c>
      <c r="M223" s="11">
        <f>Raw_Data!K223</f>
        <v>5</v>
      </c>
      <c r="N223" s="10">
        <f>Raw_Data!L223</f>
        <v>1292</v>
      </c>
      <c r="O223" s="10">
        <f t="shared" si="6"/>
        <v>720.8</v>
      </c>
      <c r="P223" s="14">
        <f t="shared" si="7"/>
        <v>0.52999999999999992</v>
      </c>
      <c r="Q223" s="7" t="str">
        <f>Raw_Data!M223</f>
        <v>UPI</v>
      </c>
      <c r="R223" s="7" t="str">
        <f>Raw_Data!N223</f>
        <v>No</v>
      </c>
    </row>
    <row r="224" spans="1:18" x14ac:dyDescent="0.25">
      <c r="A224" s="2" t="str">
        <f>Raw_Data!A224</f>
        <v>ORD-0223</v>
      </c>
      <c r="B224" s="3">
        <f>Raw_Data!B224</f>
        <v>45408</v>
      </c>
      <c r="C224" s="2" t="str">
        <f>TEXT(Raw_Data!B224,"MMM")</f>
        <v>Apr</v>
      </c>
      <c r="D224" s="2">
        <f>YEAR(Raw_Data!B224)</f>
        <v>2024</v>
      </c>
      <c r="E224" s="4" t="str">
        <f>Raw_Data!C224</f>
        <v>Nikhil Gupta</v>
      </c>
      <c r="F224" s="2" t="str">
        <f>Raw_Data!D224</f>
        <v>Surat</v>
      </c>
      <c r="G224" s="4" t="str">
        <f>Raw_Data!E224</f>
        <v>Betadine Cream</v>
      </c>
      <c r="H224" s="2" t="str">
        <f>Raw_Data!F224</f>
        <v>Cream</v>
      </c>
      <c r="I224" s="2">
        <f>Raw_Data!G224</f>
        <v>16</v>
      </c>
      <c r="J224" s="5">
        <f>Raw_Data!H224</f>
        <v>85</v>
      </c>
      <c r="K224" s="5">
        <f>Raw_Data!I224</f>
        <v>39.950000000000003</v>
      </c>
      <c r="L224" s="5">
        <f>Raw_Data!J224</f>
        <v>1360</v>
      </c>
      <c r="M224" s="6">
        <f>Raw_Data!K224</f>
        <v>0</v>
      </c>
      <c r="N224" s="5">
        <f>Raw_Data!L224</f>
        <v>1360</v>
      </c>
      <c r="O224" s="5">
        <f t="shared" si="6"/>
        <v>720.8</v>
      </c>
      <c r="P224" s="13">
        <f t="shared" si="7"/>
        <v>0.52999999999999992</v>
      </c>
      <c r="Q224" s="2" t="str">
        <f>Raw_Data!M224</f>
        <v>UPI</v>
      </c>
      <c r="R224" s="2" t="str">
        <f>Raw_Data!N224</f>
        <v>No</v>
      </c>
    </row>
    <row r="225" spans="1:18" x14ac:dyDescent="0.25">
      <c r="A225" s="7" t="str">
        <f>Raw_Data!A225</f>
        <v>ORD-0224</v>
      </c>
      <c r="B225" s="8">
        <f>Raw_Data!B225</f>
        <v>45640</v>
      </c>
      <c r="C225" s="7" t="str">
        <f>TEXT(Raw_Data!B225,"MMM")</f>
        <v>Dec</v>
      </c>
      <c r="D225" s="7">
        <f>YEAR(Raw_Data!B225)</f>
        <v>2024</v>
      </c>
      <c r="E225" s="9" t="str">
        <f>Raw_Data!C225</f>
        <v>Vikram Mehta</v>
      </c>
      <c r="F225" s="7" t="str">
        <f>Raw_Data!D225</f>
        <v>Surat</v>
      </c>
      <c r="G225" s="9" t="str">
        <f>Raw_Data!E225</f>
        <v>Benadryl Cough Syrup</v>
      </c>
      <c r="H225" s="7" t="str">
        <f>Raw_Data!F225</f>
        <v>Syrup</v>
      </c>
      <c r="I225" s="7">
        <f>Raw_Data!G225</f>
        <v>4</v>
      </c>
      <c r="J225" s="10">
        <f>Raw_Data!H225</f>
        <v>110</v>
      </c>
      <c r="K225" s="10">
        <f>Raw_Data!I225</f>
        <v>52.8</v>
      </c>
      <c r="L225" s="10">
        <f>Raw_Data!J225</f>
        <v>440</v>
      </c>
      <c r="M225" s="11">
        <f>Raw_Data!K225</f>
        <v>5</v>
      </c>
      <c r="N225" s="10">
        <f>Raw_Data!L225</f>
        <v>418</v>
      </c>
      <c r="O225" s="10">
        <f t="shared" si="6"/>
        <v>228.8</v>
      </c>
      <c r="P225" s="14">
        <f t="shared" si="7"/>
        <v>0.52</v>
      </c>
      <c r="Q225" s="7" t="str">
        <f>Raw_Data!M225</f>
        <v>Card</v>
      </c>
      <c r="R225" s="7" t="str">
        <f>Raw_Data!N225</f>
        <v>Yes</v>
      </c>
    </row>
    <row r="226" spans="1:18" x14ac:dyDescent="0.25">
      <c r="A226" s="2" t="str">
        <f>Raw_Data!A226</f>
        <v>ORD-0225</v>
      </c>
      <c r="B226" s="3">
        <f>Raw_Data!B226</f>
        <v>45645</v>
      </c>
      <c r="C226" s="2" t="str">
        <f>TEXT(Raw_Data!B226,"MMM")</f>
        <v>Dec</v>
      </c>
      <c r="D226" s="2">
        <f>YEAR(Raw_Data!B226)</f>
        <v>2024</v>
      </c>
      <c r="E226" s="4" t="str">
        <f>Raw_Data!C226</f>
        <v>Priya Tiwari</v>
      </c>
      <c r="F226" s="2" t="str">
        <f>Raw_Data!D226</f>
        <v>Jaipur</v>
      </c>
      <c r="G226" s="4" t="str">
        <f>Raw_Data!E226</f>
        <v>Cetirizine Syrup</v>
      </c>
      <c r="H226" s="2" t="str">
        <f>Raw_Data!F226</f>
        <v>Syrup</v>
      </c>
      <c r="I226" s="2">
        <f>Raw_Data!G226</f>
        <v>20</v>
      </c>
      <c r="J226" s="5">
        <f>Raw_Data!H226</f>
        <v>55</v>
      </c>
      <c r="K226" s="5">
        <f>Raw_Data!I226</f>
        <v>26.4</v>
      </c>
      <c r="L226" s="5">
        <f>Raw_Data!J226</f>
        <v>1100</v>
      </c>
      <c r="M226" s="6">
        <f>Raw_Data!K226</f>
        <v>15</v>
      </c>
      <c r="N226" s="5">
        <f>Raw_Data!L226</f>
        <v>935</v>
      </c>
      <c r="O226" s="5">
        <f t="shared" si="6"/>
        <v>572</v>
      </c>
      <c r="P226" s="13">
        <f t="shared" si="7"/>
        <v>0.52</v>
      </c>
      <c r="Q226" s="2" t="str">
        <f>Raw_Data!M226</f>
        <v>UPI</v>
      </c>
      <c r="R226" s="2" t="str">
        <f>Raw_Data!N226</f>
        <v>No</v>
      </c>
    </row>
    <row r="227" spans="1:18" x14ac:dyDescent="0.25">
      <c r="A227" s="7" t="str">
        <f>Raw_Data!A227</f>
        <v>ORD-0226</v>
      </c>
      <c r="B227" s="8">
        <f>Raw_Data!B227</f>
        <v>45362</v>
      </c>
      <c r="C227" s="7" t="str">
        <f>TEXT(Raw_Data!B227,"MMM")</f>
        <v>Mar</v>
      </c>
      <c r="D227" s="7">
        <f>YEAR(Raw_Data!B227)</f>
        <v>2024</v>
      </c>
      <c r="E227" s="9" t="str">
        <f>Raw_Data!C227</f>
        <v>Anjali Shah</v>
      </c>
      <c r="F227" s="7" t="str">
        <f>Raw_Data!D227</f>
        <v>Jaipur</v>
      </c>
      <c r="G227" s="9" t="str">
        <f>Raw_Data!E227</f>
        <v>Otrivin Nasal Drops</v>
      </c>
      <c r="H227" s="7" t="str">
        <f>Raw_Data!F227</f>
        <v>Drops</v>
      </c>
      <c r="I227" s="7">
        <f>Raw_Data!G227</f>
        <v>11</v>
      </c>
      <c r="J227" s="10">
        <f>Raw_Data!H227</f>
        <v>95</v>
      </c>
      <c r="K227" s="10">
        <f>Raw_Data!I227</f>
        <v>42.75</v>
      </c>
      <c r="L227" s="10">
        <f>Raw_Data!J227</f>
        <v>1045</v>
      </c>
      <c r="M227" s="11">
        <f>Raw_Data!K227</f>
        <v>15</v>
      </c>
      <c r="N227" s="10">
        <f>Raw_Data!L227</f>
        <v>888.25</v>
      </c>
      <c r="O227" s="10">
        <f t="shared" si="6"/>
        <v>574.75</v>
      </c>
      <c r="P227" s="14">
        <f t="shared" si="7"/>
        <v>0.55000000000000004</v>
      </c>
      <c r="Q227" s="7" t="str">
        <f>Raw_Data!M227</f>
        <v>Card</v>
      </c>
      <c r="R227" s="7" t="str">
        <f>Raw_Data!N227</f>
        <v>No</v>
      </c>
    </row>
    <row r="228" spans="1:18" x14ac:dyDescent="0.25">
      <c r="A228" s="2" t="str">
        <f>Raw_Data!A228</f>
        <v>ORD-0227</v>
      </c>
      <c r="B228" s="3">
        <f>Raw_Data!B228</f>
        <v>45564</v>
      </c>
      <c r="C228" s="2" t="str">
        <f>TEXT(Raw_Data!B228,"MMM")</f>
        <v>Sep</v>
      </c>
      <c r="D228" s="2">
        <f>YEAR(Raw_Data!B228)</f>
        <v>2024</v>
      </c>
      <c r="E228" s="4" t="str">
        <f>Raw_Data!C228</f>
        <v>Swati Kumar</v>
      </c>
      <c r="F228" s="2" t="str">
        <f>Raw_Data!D228</f>
        <v>Chennai</v>
      </c>
      <c r="G228" s="4" t="str">
        <f>Raw_Data!E228</f>
        <v>Dexamethasone Inj</v>
      </c>
      <c r="H228" s="2" t="str">
        <f>Raw_Data!F228</f>
        <v>Injection</v>
      </c>
      <c r="I228" s="2">
        <f>Raw_Data!G228</f>
        <v>20</v>
      </c>
      <c r="J228" s="5">
        <f>Raw_Data!H228</f>
        <v>95</v>
      </c>
      <c r="K228" s="5">
        <f>Raw_Data!I228</f>
        <v>57</v>
      </c>
      <c r="L228" s="5">
        <f>Raw_Data!J228</f>
        <v>1900</v>
      </c>
      <c r="M228" s="6">
        <f>Raw_Data!K228</f>
        <v>15</v>
      </c>
      <c r="N228" s="5">
        <f>Raw_Data!L228</f>
        <v>1615</v>
      </c>
      <c r="O228" s="5">
        <f t="shared" si="6"/>
        <v>760</v>
      </c>
      <c r="P228" s="13">
        <f t="shared" si="7"/>
        <v>0.4</v>
      </c>
      <c r="Q228" s="2" t="str">
        <f>Raw_Data!M228</f>
        <v>Cash</v>
      </c>
      <c r="R228" s="2" t="str">
        <f>Raw_Data!N228</f>
        <v>Yes</v>
      </c>
    </row>
    <row r="229" spans="1:18" x14ac:dyDescent="0.25">
      <c r="A229" s="7" t="str">
        <f>Raw_Data!A229</f>
        <v>ORD-0228</v>
      </c>
      <c r="B229" s="8">
        <f>Raw_Data!B229</f>
        <v>45407</v>
      </c>
      <c r="C229" s="7" t="str">
        <f>TEXT(Raw_Data!B229,"MMM")</f>
        <v>Apr</v>
      </c>
      <c r="D229" s="7">
        <f>YEAR(Raw_Data!B229)</f>
        <v>2024</v>
      </c>
      <c r="E229" s="9" t="str">
        <f>Raw_Data!C229</f>
        <v>Suresh Kumar</v>
      </c>
      <c r="F229" s="7" t="str">
        <f>Raw_Data!D229</f>
        <v>Hyderabad</v>
      </c>
      <c r="G229" s="9" t="str">
        <f>Raw_Data!E229</f>
        <v>Dexamethasone Inj</v>
      </c>
      <c r="H229" s="7" t="str">
        <f>Raw_Data!F229</f>
        <v>Injection</v>
      </c>
      <c r="I229" s="7">
        <f>Raw_Data!G229</f>
        <v>16</v>
      </c>
      <c r="J229" s="10">
        <f>Raw_Data!H229</f>
        <v>95</v>
      </c>
      <c r="K229" s="10">
        <f>Raw_Data!I229</f>
        <v>57</v>
      </c>
      <c r="L229" s="10">
        <f>Raw_Data!J229</f>
        <v>1520</v>
      </c>
      <c r="M229" s="11">
        <f>Raw_Data!K229</f>
        <v>10</v>
      </c>
      <c r="N229" s="10">
        <f>Raw_Data!L229</f>
        <v>1368</v>
      </c>
      <c r="O229" s="10">
        <f t="shared" si="6"/>
        <v>608</v>
      </c>
      <c r="P229" s="14">
        <f t="shared" si="7"/>
        <v>0.4</v>
      </c>
      <c r="Q229" s="7" t="str">
        <f>Raw_Data!M229</f>
        <v>Card</v>
      </c>
      <c r="R229" s="7" t="str">
        <f>Raw_Data!N229</f>
        <v>Yes</v>
      </c>
    </row>
    <row r="230" spans="1:18" x14ac:dyDescent="0.25">
      <c r="A230" s="2" t="str">
        <f>Raw_Data!A230</f>
        <v>ORD-0229</v>
      </c>
      <c r="B230" s="3">
        <f>Raw_Data!B230</f>
        <v>45354</v>
      </c>
      <c r="C230" s="2" t="str">
        <f>TEXT(Raw_Data!B230,"MMM")</f>
        <v>Mar</v>
      </c>
      <c r="D230" s="2">
        <f>YEAR(Raw_Data!B230)</f>
        <v>2024</v>
      </c>
      <c r="E230" s="4" t="str">
        <f>Raw_Data!C230</f>
        <v>Vikram Kumar</v>
      </c>
      <c r="F230" s="2" t="str">
        <f>Raw_Data!D230</f>
        <v>Jaipur</v>
      </c>
      <c r="G230" s="4" t="str">
        <f>Raw_Data!E230</f>
        <v>Refresh Tears</v>
      </c>
      <c r="H230" s="2" t="str">
        <f>Raw_Data!F230</f>
        <v>Drops</v>
      </c>
      <c r="I230" s="2">
        <f>Raw_Data!G230</f>
        <v>13</v>
      </c>
      <c r="J230" s="5">
        <f>Raw_Data!H230</f>
        <v>110</v>
      </c>
      <c r="K230" s="5">
        <f>Raw_Data!I230</f>
        <v>49.5</v>
      </c>
      <c r="L230" s="5">
        <f>Raw_Data!J230</f>
        <v>1430</v>
      </c>
      <c r="M230" s="6">
        <f>Raw_Data!K230</f>
        <v>10</v>
      </c>
      <c r="N230" s="5">
        <f>Raw_Data!L230</f>
        <v>1287</v>
      </c>
      <c r="O230" s="5">
        <f t="shared" si="6"/>
        <v>786.5</v>
      </c>
      <c r="P230" s="13">
        <f t="shared" si="7"/>
        <v>0.55000000000000004</v>
      </c>
      <c r="Q230" s="2" t="str">
        <f>Raw_Data!M230</f>
        <v>UPI</v>
      </c>
      <c r="R230" s="2" t="str">
        <f>Raw_Data!N230</f>
        <v>No</v>
      </c>
    </row>
    <row r="231" spans="1:18" x14ac:dyDescent="0.25">
      <c r="A231" s="7" t="str">
        <f>Raw_Data!A231</f>
        <v>ORD-0230</v>
      </c>
      <c r="B231" s="8">
        <f>Raw_Data!B231</f>
        <v>45313</v>
      </c>
      <c r="C231" s="7" t="str">
        <f>TEXT(Raw_Data!B231,"MMM")</f>
        <v>Jan</v>
      </c>
      <c r="D231" s="7">
        <f>YEAR(Raw_Data!B231)</f>
        <v>2024</v>
      </c>
      <c r="E231" s="9" t="str">
        <f>Raw_Data!C231</f>
        <v>Swati Kumar</v>
      </c>
      <c r="F231" s="7" t="str">
        <f>Raw_Data!D231</f>
        <v>Pune</v>
      </c>
      <c r="G231" s="9" t="str">
        <f>Raw_Data!E231</f>
        <v>Insulin Glargine</v>
      </c>
      <c r="H231" s="7" t="str">
        <f>Raw_Data!F231</f>
        <v>Injection</v>
      </c>
      <c r="I231" s="7">
        <f>Raw_Data!G231</f>
        <v>15</v>
      </c>
      <c r="J231" s="10">
        <f>Raw_Data!H231</f>
        <v>850</v>
      </c>
      <c r="K231" s="10">
        <f>Raw_Data!I231</f>
        <v>510</v>
      </c>
      <c r="L231" s="10">
        <f>Raw_Data!J231</f>
        <v>12750</v>
      </c>
      <c r="M231" s="11">
        <f>Raw_Data!K231</f>
        <v>5</v>
      </c>
      <c r="N231" s="10">
        <f>Raw_Data!L231</f>
        <v>12112.5</v>
      </c>
      <c r="O231" s="10">
        <f t="shared" si="6"/>
        <v>5100</v>
      </c>
      <c r="P231" s="14">
        <f t="shared" si="7"/>
        <v>0.4</v>
      </c>
      <c r="Q231" s="7" t="str">
        <f>Raw_Data!M231</f>
        <v>Cash</v>
      </c>
      <c r="R231" s="7" t="str">
        <f>Raw_Data!N231</f>
        <v>Yes</v>
      </c>
    </row>
    <row r="232" spans="1:18" x14ac:dyDescent="0.25">
      <c r="A232" s="2" t="str">
        <f>Raw_Data!A232</f>
        <v>ORD-0231</v>
      </c>
      <c r="B232" s="3">
        <f>Raw_Data!B232</f>
        <v>45579</v>
      </c>
      <c r="C232" s="2" t="str">
        <f>TEXT(Raw_Data!B232,"MMM")</f>
        <v>Oct</v>
      </c>
      <c r="D232" s="2">
        <f>YEAR(Raw_Data!B232)</f>
        <v>2024</v>
      </c>
      <c r="E232" s="4" t="str">
        <f>Raw_Data!C232</f>
        <v>Manish Singh</v>
      </c>
      <c r="F232" s="2" t="str">
        <f>Raw_Data!D232</f>
        <v>Bangalore</v>
      </c>
      <c r="G232" s="4" t="str">
        <f>Raw_Data!E232</f>
        <v>Candid Cream</v>
      </c>
      <c r="H232" s="2" t="str">
        <f>Raw_Data!F232</f>
        <v>Cream</v>
      </c>
      <c r="I232" s="2">
        <f>Raw_Data!G232</f>
        <v>4</v>
      </c>
      <c r="J232" s="5">
        <f>Raw_Data!H232</f>
        <v>65</v>
      </c>
      <c r="K232" s="5">
        <f>Raw_Data!I232</f>
        <v>30.55</v>
      </c>
      <c r="L232" s="5">
        <f>Raw_Data!J232</f>
        <v>260</v>
      </c>
      <c r="M232" s="6">
        <f>Raw_Data!K232</f>
        <v>5</v>
      </c>
      <c r="N232" s="5">
        <f>Raw_Data!L232</f>
        <v>247</v>
      </c>
      <c r="O232" s="5">
        <f t="shared" si="6"/>
        <v>137.80000000000001</v>
      </c>
      <c r="P232" s="13">
        <f t="shared" si="7"/>
        <v>0.53</v>
      </c>
      <c r="Q232" s="2" t="str">
        <f>Raw_Data!M232</f>
        <v>UPI</v>
      </c>
      <c r="R232" s="2" t="str">
        <f>Raw_Data!N232</f>
        <v>Yes</v>
      </c>
    </row>
    <row r="233" spans="1:18" x14ac:dyDescent="0.25">
      <c r="A233" s="7" t="str">
        <f>Raw_Data!A233</f>
        <v>ORD-0232</v>
      </c>
      <c r="B233" s="8">
        <f>Raw_Data!B233</f>
        <v>45618</v>
      </c>
      <c r="C233" s="7" t="str">
        <f>TEXT(Raw_Data!B233,"MMM")</f>
        <v>Nov</v>
      </c>
      <c r="D233" s="7">
        <f>YEAR(Raw_Data!B233)</f>
        <v>2024</v>
      </c>
      <c r="E233" s="9" t="str">
        <f>Raw_Data!C233</f>
        <v>Vikram Sharma</v>
      </c>
      <c r="F233" s="7" t="str">
        <f>Raw_Data!D233</f>
        <v>Delhi</v>
      </c>
      <c r="G233" s="9" t="str">
        <f>Raw_Data!E233</f>
        <v>Benadryl Cough Syrup</v>
      </c>
      <c r="H233" s="7" t="str">
        <f>Raw_Data!F233</f>
        <v>Syrup</v>
      </c>
      <c r="I233" s="7">
        <f>Raw_Data!G233</f>
        <v>14</v>
      </c>
      <c r="J233" s="10">
        <f>Raw_Data!H233</f>
        <v>110</v>
      </c>
      <c r="K233" s="10">
        <f>Raw_Data!I233</f>
        <v>52.8</v>
      </c>
      <c r="L233" s="10">
        <f>Raw_Data!J233</f>
        <v>1540</v>
      </c>
      <c r="M233" s="11">
        <f>Raw_Data!K233</f>
        <v>10</v>
      </c>
      <c r="N233" s="10">
        <f>Raw_Data!L233</f>
        <v>1386</v>
      </c>
      <c r="O233" s="10">
        <f t="shared" si="6"/>
        <v>800.80000000000007</v>
      </c>
      <c r="P233" s="14">
        <f t="shared" si="7"/>
        <v>0.52</v>
      </c>
      <c r="Q233" s="7" t="str">
        <f>Raw_Data!M233</f>
        <v>Cash</v>
      </c>
      <c r="R233" s="7" t="str">
        <f>Raw_Data!N233</f>
        <v>No</v>
      </c>
    </row>
    <row r="234" spans="1:18" x14ac:dyDescent="0.25">
      <c r="A234" s="2" t="str">
        <f>Raw_Data!A234</f>
        <v>ORD-0233</v>
      </c>
      <c r="B234" s="3">
        <f>Raw_Data!B234</f>
        <v>45573</v>
      </c>
      <c r="C234" s="2" t="str">
        <f>TEXT(Raw_Data!B234,"MMM")</f>
        <v>Oct</v>
      </c>
      <c r="D234" s="2">
        <f>YEAR(Raw_Data!B234)</f>
        <v>2024</v>
      </c>
      <c r="E234" s="4" t="str">
        <f>Raw_Data!C234</f>
        <v>Kavita Agarwal</v>
      </c>
      <c r="F234" s="2" t="str">
        <f>Raw_Data!D234</f>
        <v>Ahmedabad</v>
      </c>
      <c r="G234" s="4" t="str">
        <f>Raw_Data!E234</f>
        <v>Cetirizine Syrup</v>
      </c>
      <c r="H234" s="2" t="str">
        <f>Raw_Data!F234</f>
        <v>Syrup</v>
      </c>
      <c r="I234" s="2">
        <f>Raw_Data!G234</f>
        <v>16</v>
      </c>
      <c r="J234" s="5">
        <f>Raw_Data!H234</f>
        <v>55</v>
      </c>
      <c r="K234" s="5">
        <f>Raw_Data!I234</f>
        <v>26.4</v>
      </c>
      <c r="L234" s="5">
        <f>Raw_Data!J234</f>
        <v>880</v>
      </c>
      <c r="M234" s="6">
        <f>Raw_Data!K234</f>
        <v>5</v>
      </c>
      <c r="N234" s="5">
        <f>Raw_Data!L234</f>
        <v>836</v>
      </c>
      <c r="O234" s="5">
        <f t="shared" si="6"/>
        <v>457.6</v>
      </c>
      <c r="P234" s="13">
        <f t="shared" si="7"/>
        <v>0.52</v>
      </c>
      <c r="Q234" s="2" t="str">
        <f>Raw_Data!M234</f>
        <v>Cash</v>
      </c>
      <c r="R234" s="2" t="str">
        <f>Raw_Data!N234</f>
        <v>No</v>
      </c>
    </row>
    <row r="235" spans="1:18" x14ac:dyDescent="0.25">
      <c r="A235" s="7" t="str">
        <f>Raw_Data!A235</f>
        <v>ORD-0234</v>
      </c>
      <c r="B235" s="8">
        <f>Raw_Data!B235</f>
        <v>45322</v>
      </c>
      <c r="C235" s="7" t="str">
        <f>TEXT(Raw_Data!B235,"MMM")</f>
        <v>Jan</v>
      </c>
      <c r="D235" s="7">
        <f>YEAR(Raw_Data!B235)</f>
        <v>2024</v>
      </c>
      <c r="E235" s="9" t="str">
        <f>Raw_Data!C235</f>
        <v>Priya Nair</v>
      </c>
      <c r="F235" s="7" t="str">
        <f>Raw_Data!D235</f>
        <v>Surat</v>
      </c>
      <c r="G235" s="9" t="str">
        <f>Raw_Data!E235</f>
        <v>ORS Electrolyte</v>
      </c>
      <c r="H235" s="7" t="str">
        <f>Raw_Data!F235</f>
        <v>Powder</v>
      </c>
      <c r="I235" s="7">
        <f>Raw_Data!G235</f>
        <v>8</v>
      </c>
      <c r="J235" s="10">
        <f>Raw_Data!H235</f>
        <v>30</v>
      </c>
      <c r="K235" s="10">
        <f>Raw_Data!I235</f>
        <v>16.5</v>
      </c>
      <c r="L235" s="10">
        <f>Raw_Data!J235</f>
        <v>240</v>
      </c>
      <c r="M235" s="11">
        <f>Raw_Data!K235</f>
        <v>20</v>
      </c>
      <c r="N235" s="10">
        <f>Raw_Data!L235</f>
        <v>192</v>
      </c>
      <c r="O235" s="10">
        <f t="shared" si="6"/>
        <v>108</v>
      </c>
      <c r="P235" s="14">
        <f t="shared" si="7"/>
        <v>0.45</v>
      </c>
      <c r="Q235" s="7" t="str">
        <f>Raw_Data!M235</f>
        <v>UPI</v>
      </c>
      <c r="R235" s="7" t="str">
        <f>Raw_Data!N235</f>
        <v>No</v>
      </c>
    </row>
    <row r="236" spans="1:18" x14ac:dyDescent="0.25">
      <c r="A236" s="2" t="str">
        <f>Raw_Data!A236</f>
        <v>ORD-0235</v>
      </c>
      <c r="B236" s="3">
        <f>Raw_Data!B236</f>
        <v>45381</v>
      </c>
      <c r="C236" s="2" t="str">
        <f>TEXT(Raw_Data!B236,"MMM")</f>
        <v>Mar</v>
      </c>
      <c r="D236" s="2">
        <f>YEAR(Raw_Data!B236)</f>
        <v>2024</v>
      </c>
      <c r="E236" s="4" t="str">
        <f>Raw_Data!C236</f>
        <v>Kavita Nair</v>
      </c>
      <c r="F236" s="2" t="str">
        <f>Raw_Data!D236</f>
        <v>Mumbai</v>
      </c>
      <c r="G236" s="4" t="str">
        <f>Raw_Data!E236</f>
        <v>Doxycycline 100mg</v>
      </c>
      <c r="H236" s="2" t="str">
        <f>Raw_Data!F236</f>
        <v>Capsule</v>
      </c>
      <c r="I236" s="2">
        <f>Raw_Data!G236</f>
        <v>13</v>
      </c>
      <c r="J236" s="5">
        <f>Raw_Data!H236</f>
        <v>90</v>
      </c>
      <c r="K236" s="5">
        <f>Raw_Data!I236</f>
        <v>45</v>
      </c>
      <c r="L236" s="5">
        <f>Raw_Data!J236</f>
        <v>1170</v>
      </c>
      <c r="M236" s="6">
        <f>Raw_Data!K236</f>
        <v>15</v>
      </c>
      <c r="N236" s="5">
        <f>Raw_Data!L236</f>
        <v>994.5</v>
      </c>
      <c r="O236" s="5">
        <f t="shared" si="6"/>
        <v>585</v>
      </c>
      <c r="P236" s="13">
        <f t="shared" si="7"/>
        <v>0.5</v>
      </c>
      <c r="Q236" s="2" t="str">
        <f>Raw_Data!M236</f>
        <v>UPI</v>
      </c>
      <c r="R236" s="2" t="str">
        <f>Raw_Data!N236</f>
        <v>Yes</v>
      </c>
    </row>
    <row r="237" spans="1:18" x14ac:dyDescent="0.25">
      <c r="A237" s="7" t="str">
        <f>Raw_Data!A237</f>
        <v>ORD-0236</v>
      </c>
      <c r="B237" s="8">
        <f>Raw_Data!B237</f>
        <v>45311</v>
      </c>
      <c r="C237" s="7" t="str">
        <f>TEXT(Raw_Data!B237,"MMM")</f>
        <v>Jan</v>
      </c>
      <c r="D237" s="7">
        <f>YEAR(Raw_Data!B237)</f>
        <v>2024</v>
      </c>
      <c r="E237" s="9" t="str">
        <f>Raw_Data!C237</f>
        <v>Sanjay Agarwal</v>
      </c>
      <c r="F237" s="7" t="str">
        <f>Raw_Data!D237</f>
        <v>Surat</v>
      </c>
      <c r="G237" s="9" t="str">
        <f>Raw_Data!E237</f>
        <v>Cetirizine 10mg</v>
      </c>
      <c r="H237" s="7" t="str">
        <f>Raw_Data!F237</f>
        <v>Tablet</v>
      </c>
      <c r="I237" s="7">
        <f>Raw_Data!G237</f>
        <v>20</v>
      </c>
      <c r="J237" s="10">
        <f>Raw_Data!H237</f>
        <v>35</v>
      </c>
      <c r="K237" s="10">
        <f>Raw_Data!I237</f>
        <v>18.2</v>
      </c>
      <c r="L237" s="10">
        <f>Raw_Data!J237</f>
        <v>700</v>
      </c>
      <c r="M237" s="11">
        <f>Raw_Data!K237</f>
        <v>0</v>
      </c>
      <c r="N237" s="10">
        <f>Raw_Data!L237</f>
        <v>700</v>
      </c>
      <c r="O237" s="10">
        <f t="shared" si="6"/>
        <v>336</v>
      </c>
      <c r="P237" s="14">
        <f t="shared" si="7"/>
        <v>0.48</v>
      </c>
      <c r="Q237" s="7" t="str">
        <f>Raw_Data!M237</f>
        <v>Card</v>
      </c>
      <c r="R237" s="7" t="str">
        <f>Raw_Data!N237</f>
        <v>No</v>
      </c>
    </row>
    <row r="238" spans="1:18" x14ac:dyDescent="0.25">
      <c r="A238" s="2" t="str">
        <f>Raw_Data!A238</f>
        <v>ORD-0237</v>
      </c>
      <c r="B238" s="3">
        <f>Raw_Data!B238</f>
        <v>45570</v>
      </c>
      <c r="C238" s="2" t="str">
        <f>TEXT(Raw_Data!B238,"MMM")</f>
        <v>Oct</v>
      </c>
      <c r="D238" s="2">
        <f>YEAR(Raw_Data!B238)</f>
        <v>2024</v>
      </c>
      <c r="E238" s="4" t="str">
        <f>Raw_Data!C238</f>
        <v>Arjun Gupta</v>
      </c>
      <c r="F238" s="2" t="str">
        <f>Raw_Data!D238</f>
        <v>Bangalore</v>
      </c>
      <c r="G238" s="4" t="str">
        <f>Raw_Data!E238</f>
        <v>Cipla Eye Drops</v>
      </c>
      <c r="H238" s="2" t="str">
        <f>Raw_Data!F238</f>
        <v>Drops</v>
      </c>
      <c r="I238" s="2">
        <f>Raw_Data!G238</f>
        <v>17</v>
      </c>
      <c r="J238" s="5">
        <f>Raw_Data!H238</f>
        <v>70</v>
      </c>
      <c r="K238" s="5">
        <f>Raw_Data!I238</f>
        <v>31.5</v>
      </c>
      <c r="L238" s="5">
        <f>Raw_Data!J238</f>
        <v>1190</v>
      </c>
      <c r="M238" s="6">
        <f>Raw_Data!K238</f>
        <v>15</v>
      </c>
      <c r="N238" s="5">
        <f>Raw_Data!L238</f>
        <v>1011.5</v>
      </c>
      <c r="O238" s="5">
        <f t="shared" si="6"/>
        <v>654.5</v>
      </c>
      <c r="P238" s="13">
        <f t="shared" si="7"/>
        <v>0.55000000000000004</v>
      </c>
      <c r="Q238" s="2" t="str">
        <f>Raw_Data!M238</f>
        <v>UPI</v>
      </c>
      <c r="R238" s="2" t="str">
        <f>Raw_Data!N238</f>
        <v>Yes</v>
      </c>
    </row>
    <row r="239" spans="1:18" x14ac:dyDescent="0.25">
      <c r="A239" s="7" t="str">
        <f>Raw_Data!A239</f>
        <v>ORD-0238</v>
      </c>
      <c r="B239" s="8">
        <f>Raw_Data!B239</f>
        <v>45526</v>
      </c>
      <c r="C239" s="7" t="str">
        <f>TEXT(Raw_Data!B239,"MMM")</f>
        <v>Aug</v>
      </c>
      <c r="D239" s="7">
        <f>YEAR(Raw_Data!B239)</f>
        <v>2024</v>
      </c>
      <c r="E239" s="9" t="str">
        <f>Raw_Data!C239</f>
        <v>Rohit Gupta</v>
      </c>
      <c r="F239" s="7" t="str">
        <f>Raw_Data!D239</f>
        <v>Bangalore</v>
      </c>
      <c r="G239" s="9" t="str">
        <f>Raw_Data!E239</f>
        <v>Candid Cream</v>
      </c>
      <c r="H239" s="7" t="str">
        <f>Raw_Data!F239</f>
        <v>Cream</v>
      </c>
      <c r="I239" s="7">
        <f>Raw_Data!G239</f>
        <v>1</v>
      </c>
      <c r="J239" s="10">
        <f>Raw_Data!H239</f>
        <v>65</v>
      </c>
      <c r="K239" s="10">
        <f>Raw_Data!I239</f>
        <v>30.55</v>
      </c>
      <c r="L239" s="10">
        <f>Raw_Data!J239</f>
        <v>65</v>
      </c>
      <c r="M239" s="11">
        <f>Raw_Data!K239</f>
        <v>10</v>
      </c>
      <c r="N239" s="10">
        <f>Raw_Data!L239</f>
        <v>58.5</v>
      </c>
      <c r="O239" s="10">
        <f t="shared" si="6"/>
        <v>34.450000000000003</v>
      </c>
      <c r="P239" s="14">
        <f t="shared" si="7"/>
        <v>0.53</v>
      </c>
      <c r="Q239" s="7" t="str">
        <f>Raw_Data!M239</f>
        <v>Card</v>
      </c>
      <c r="R239" s="7" t="str">
        <f>Raw_Data!N239</f>
        <v>No</v>
      </c>
    </row>
    <row r="240" spans="1:18" x14ac:dyDescent="0.25">
      <c r="A240" s="2" t="str">
        <f>Raw_Data!A240</f>
        <v>ORD-0239</v>
      </c>
      <c r="B240" s="3">
        <f>Raw_Data!B240</f>
        <v>45604</v>
      </c>
      <c r="C240" s="2" t="str">
        <f>TEXT(Raw_Data!B240,"MMM")</f>
        <v>Nov</v>
      </c>
      <c r="D240" s="2">
        <f>YEAR(Raw_Data!B240)</f>
        <v>2024</v>
      </c>
      <c r="E240" s="4" t="str">
        <f>Raw_Data!C240</f>
        <v>Sunita Gupta</v>
      </c>
      <c r="F240" s="2" t="str">
        <f>Raw_Data!D240</f>
        <v>Kolkata</v>
      </c>
      <c r="G240" s="4" t="str">
        <f>Raw_Data!E240</f>
        <v>Antifungal Powder</v>
      </c>
      <c r="H240" s="2" t="str">
        <f>Raw_Data!F240</f>
        <v>Powder</v>
      </c>
      <c r="I240" s="2">
        <f>Raw_Data!G240</f>
        <v>14</v>
      </c>
      <c r="J240" s="5">
        <f>Raw_Data!H240</f>
        <v>55</v>
      </c>
      <c r="K240" s="5">
        <f>Raw_Data!I240</f>
        <v>30.25</v>
      </c>
      <c r="L240" s="5">
        <f>Raw_Data!J240</f>
        <v>770</v>
      </c>
      <c r="M240" s="6">
        <f>Raw_Data!K240</f>
        <v>20</v>
      </c>
      <c r="N240" s="5">
        <f>Raw_Data!L240</f>
        <v>616</v>
      </c>
      <c r="O240" s="5">
        <f t="shared" si="6"/>
        <v>346.5</v>
      </c>
      <c r="P240" s="13">
        <f t="shared" si="7"/>
        <v>0.45</v>
      </c>
      <c r="Q240" s="2" t="str">
        <f>Raw_Data!M240</f>
        <v>Card</v>
      </c>
      <c r="R240" s="2" t="str">
        <f>Raw_Data!N240</f>
        <v>No</v>
      </c>
    </row>
    <row r="241" spans="1:18" x14ac:dyDescent="0.25">
      <c r="A241" s="7" t="str">
        <f>Raw_Data!A241</f>
        <v>ORD-0240</v>
      </c>
      <c r="B241" s="8">
        <f>Raw_Data!B241</f>
        <v>45363</v>
      </c>
      <c r="C241" s="7" t="str">
        <f>TEXT(Raw_Data!B241,"MMM")</f>
        <v>Mar</v>
      </c>
      <c r="D241" s="7">
        <f>YEAR(Raw_Data!B241)</f>
        <v>2024</v>
      </c>
      <c r="E241" s="9" t="str">
        <f>Raw_Data!C241</f>
        <v>Suresh Joshi</v>
      </c>
      <c r="F241" s="7" t="str">
        <f>Raw_Data!D241</f>
        <v>Hyderabad</v>
      </c>
      <c r="G241" s="9" t="str">
        <f>Raw_Data!E241</f>
        <v>Fluconazole 150mg</v>
      </c>
      <c r="H241" s="7" t="str">
        <f>Raw_Data!F241</f>
        <v>Capsule</v>
      </c>
      <c r="I241" s="7">
        <f>Raw_Data!G241</f>
        <v>1</v>
      </c>
      <c r="J241" s="10">
        <f>Raw_Data!H241</f>
        <v>75</v>
      </c>
      <c r="K241" s="10">
        <f>Raw_Data!I241</f>
        <v>37.5</v>
      </c>
      <c r="L241" s="10">
        <f>Raw_Data!J241</f>
        <v>75</v>
      </c>
      <c r="M241" s="11">
        <f>Raw_Data!K241</f>
        <v>5</v>
      </c>
      <c r="N241" s="10">
        <f>Raw_Data!L241</f>
        <v>71.25</v>
      </c>
      <c r="O241" s="10">
        <f t="shared" si="6"/>
        <v>37.5</v>
      </c>
      <c r="P241" s="14">
        <f t="shared" si="7"/>
        <v>0.5</v>
      </c>
      <c r="Q241" s="7" t="str">
        <f>Raw_Data!M241</f>
        <v>Card</v>
      </c>
      <c r="R241" s="7" t="str">
        <f>Raw_Data!N241</f>
        <v>Yes</v>
      </c>
    </row>
    <row r="242" spans="1:18" x14ac:dyDescent="0.25">
      <c r="A242" s="2" t="str">
        <f>Raw_Data!A242</f>
        <v>ORD-0241</v>
      </c>
      <c r="B242" s="3">
        <f>Raw_Data!B242</f>
        <v>45446</v>
      </c>
      <c r="C242" s="2" t="str">
        <f>TEXT(Raw_Data!B242,"MMM")</f>
        <v>Jun</v>
      </c>
      <c r="D242" s="2">
        <f>YEAR(Raw_Data!B242)</f>
        <v>2024</v>
      </c>
      <c r="E242" s="4" t="str">
        <f>Raw_Data!C242</f>
        <v>Priya Agarwal</v>
      </c>
      <c r="F242" s="2" t="str">
        <f>Raw_Data!D242</f>
        <v>Surat</v>
      </c>
      <c r="G242" s="4" t="str">
        <f>Raw_Data!E242</f>
        <v>Refresh Tears</v>
      </c>
      <c r="H242" s="2" t="str">
        <f>Raw_Data!F242</f>
        <v>Drops</v>
      </c>
      <c r="I242" s="2">
        <f>Raw_Data!G242</f>
        <v>1</v>
      </c>
      <c r="J242" s="5">
        <f>Raw_Data!H242</f>
        <v>110</v>
      </c>
      <c r="K242" s="5">
        <f>Raw_Data!I242</f>
        <v>49.5</v>
      </c>
      <c r="L242" s="5">
        <f>Raw_Data!J242</f>
        <v>110</v>
      </c>
      <c r="M242" s="6">
        <f>Raw_Data!K242</f>
        <v>5</v>
      </c>
      <c r="N242" s="5">
        <f>Raw_Data!L242</f>
        <v>104.5</v>
      </c>
      <c r="O242" s="5">
        <f t="shared" si="6"/>
        <v>60.5</v>
      </c>
      <c r="P242" s="13">
        <f t="shared" si="7"/>
        <v>0.55000000000000004</v>
      </c>
      <c r="Q242" s="2" t="str">
        <f>Raw_Data!M242</f>
        <v>UPI</v>
      </c>
      <c r="R242" s="2" t="str">
        <f>Raw_Data!N242</f>
        <v>No</v>
      </c>
    </row>
    <row r="243" spans="1:18" x14ac:dyDescent="0.25">
      <c r="A243" s="7" t="str">
        <f>Raw_Data!A243</f>
        <v>ORD-0242</v>
      </c>
      <c r="B243" s="8">
        <f>Raw_Data!B243</f>
        <v>45352</v>
      </c>
      <c r="C243" s="7" t="str">
        <f>TEXT(Raw_Data!B243,"MMM")</f>
        <v>Mar</v>
      </c>
      <c r="D243" s="7">
        <f>YEAR(Raw_Data!B243)</f>
        <v>2024</v>
      </c>
      <c r="E243" s="9" t="str">
        <f>Raw_Data!C243</f>
        <v>Kavita Tiwari</v>
      </c>
      <c r="F243" s="7" t="str">
        <f>Raw_Data!D243</f>
        <v>Bangalore</v>
      </c>
      <c r="G243" s="9" t="str">
        <f>Raw_Data!E243</f>
        <v>Fluconazole 150mg</v>
      </c>
      <c r="H243" s="7" t="str">
        <f>Raw_Data!F243</f>
        <v>Capsule</v>
      </c>
      <c r="I243" s="7">
        <f>Raw_Data!G243</f>
        <v>13</v>
      </c>
      <c r="J243" s="10">
        <f>Raw_Data!H243</f>
        <v>75</v>
      </c>
      <c r="K243" s="10">
        <f>Raw_Data!I243</f>
        <v>37.5</v>
      </c>
      <c r="L243" s="10">
        <f>Raw_Data!J243</f>
        <v>975</v>
      </c>
      <c r="M243" s="11">
        <f>Raw_Data!K243</f>
        <v>20</v>
      </c>
      <c r="N243" s="10">
        <f>Raw_Data!L243</f>
        <v>780</v>
      </c>
      <c r="O243" s="10">
        <f t="shared" si="6"/>
        <v>487.5</v>
      </c>
      <c r="P243" s="14">
        <f t="shared" si="7"/>
        <v>0.5</v>
      </c>
      <c r="Q243" s="7" t="str">
        <f>Raw_Data!M243</f>
        <v>UPI</v>
      </c>
      <c r="R243" s="7" t="str">
        <f>Raw_Data!N243</f>
        <v>No</v>
      </c>
    </row>
    <row r="244" spans="1:18" x14ac:dyDescent="0.25">
      <c r="A244" s="2" t="str">
        <f>Raw_Data!A244</f>
        <v>ORD-0243</v>
      </c>
      <c r="B244" s="3">
        <f>Raw_Data!B244</f>
        <v>45352</v>
      </c>
      <c r="C244" s="2" t="str">
        <f>TEXT(Raw_Data!B244,"MMM")</f>
        <v>Mar</v>
      </c>
      <c r="D244" s="2">
        <f>YEAR(Raw_Data!B244)</f>
        <v>2024</v>
      </c>
      <c r="E244" s="4" t="str">
        <f>Raw_Data!C244</f>
        <v>Vikram Shah</v>
      </c>
      <c r="F244" s="2" t="str">
        <f>Raw_Data!D244</f>
        <v>Pune</v>
      </c>
      <c r="G244" s="4" t="str">
        <f>Raw_Data!E244</f>
        <v>Candid Cream</v>
      </c>
      <c r="H244" s="2" t="str">
        <f>Raw_Data!F244</f>
        <v>Cream</v>
      </c>
      <c r="I244" s="2">
        <f>Raw_Data!G244</f>
        <v>20</v>
      </c>
      <c r="J244" s="5">
        <f>Raw_Data!H244</f>
        <v>65</v>
      </c>
      <c r="K244" s="5">
        <f>Raw_Data!I244</f>
        <v>30.55</v>
      </c>
      <c r="L244" s="5">
        <f>Raw_Data!J244</f>
        <v>1300</v>
      </c>
      <c r="M244" s="6">
        <f>Raw_Data!K244</f>
        <v>5</v>
      </c>
      <c r="N244" s="5">
        <f>Raw_Data!L244</f>
        <v>1235</v>
      </c>
      <c r="O244" s="5">
        <f t="shared" si="6"/>
        <v>689</v>
      </c>
      <c r="P244" s="13">
        <f t="shared" si="7"/>
        <v>0.53</v>
      </c>
      <c r="Q244" s="2" t="str">
        <f>Raw_Data!M244</f>
        <v>Cash</v>
      </c>
      <c r="R244" s="2" t="str">
        <f>Raw_Data!N244</f>
        <v>Yes</v>
      </c>
    </row>
    <row r="245" spans="1:18" x14ac:dyDescent="0.25">
      <c r="A245" s="7" t="str">
        <f>Raw_Data!A245</f>
        <v>ORD-0244</v>
      </c>
      <c r="B245" s="8">
        <f>Raw_Data!B245</f>
        <v>45602</v>
      </c>
      <c r="C245" s="7" t="str">
        <f>TEXT(Raw_Data!B245,"MMM")</f>
        <v>Nov</v>
      </c>
      <c r="D245" s="7">
        <f>YEAR(Raw_Data!B245)</f>
        <v>2024</v>
      </c>
      <c r="E245" s="9" t="str">
        <f>Raw_Data!C245</f>
        <v>Deepa Agarwal</v>
      </c>
      <c r="F245" s="7" t="str">
        <f>Raw_Data!D245</f>
        <v>Jaipur</v>
      </c>
      <c r="G245" s="9" t="str">
        <f>Raw_Data!E245</f>
        <v>Vitamin B12 Inj</v>
      </c>
      <c r="H245" s="7" t="str">
        <f>Raw_Data!F245</f>
        <v>Injection</v>
      </c>
      <c r="I245" s="7">
        <f>Raw_Data!G245</f>
        <v>16</v>
      </c>
      <c r="J245" s="10">
        <f>Raw_Data!H245</f>
        <v>60</v>
      </c>
      <c r="K245" s="10">
        <f>Raw_Data!I245</f>
        <v>36</v>
      </c>
      <c r="L245" s="10">
        <f>Raw_Data!J245</f>
        <v>960</v>
      </c>
      <c r="M245" s="11">
        <f>Raw_Data!K245</f>
        <v>20</v>
      </c>
      <c r="N245" s="10">
        <f>Raw_Data!L245</f>
        <v>768</v>
      </c>
      <c r="O245" s="10">
        <f t="shared" si="6"/>
        <v>384</v>
      </c>
      <c r="P245" s="14">
        <f t="shared" si="7"/>
        <v>0.4</v>
      </c>
      <c r="Q245" s="7" t="str">
        <f>Raw_Data!M245</f>
        <v>UPI</v>
      </c>
      <c r="R245" s="7" t="str">
        <f>Raw_Data!N245</f>
        <v>Yes</v>
      </c>
    </row>
    <row r="246" spans="1:18" x14ac:dyDescent="0.25">
      <c r="A246" s="2" t="str">
        <f>Raw_Data!A246</f>
        <v>ORD-0245</v>
      </c>
      <c r="B246" s="3">
        <f>Raw_Data!B246</f>
        <v>45597</v>
      </c>
      <c r="C246" s="2" t="str">
        <f>TEXT(Raw_Data!B246,"MMM")</f>
        <v>Nov</v>
      </c>
      <c r="D246" s="2">
        <f>YEAR(Raw_Data!B246)</f>
        <v>2024</v>
      </c>
      <c r="E246" s="4" t="str">
        <f>Raw_Data!C246</f>
        <v>Vijay Patel</v>
      </c>
      <c r="F246" s="2" t="str">
        <f>Raw_Data!D246</f>
        <v>Jaipur</v>
      </c>
      <c r="G246" s="4" t="str">
        <f>Raw_Data!E246</f>
        <v>ORS Electrolyte</v>
      </c>
      <c r="H246" s="2" t="str">
        <f>Raw_Data!F246</f>
        <v>Powder</v>
      </c>
      <c r="I246" s="2">
        <f>Raw_Data!G246</f>
        <v>15</v>
      </c>
      <c r="J246" s="5">
        <f>Raw_Data!H246</f>
        <v>30</v>
      </c>
      <c r="K246" s="5">
        <f>Raw_Data!I246</f>
        <v>16.5</v>
      </c>
      <c r="L246" s="5">
        <f>Raw_Data!J246</f>
        <v>450</v>
      </c>
      <c r="M246" s="6">
        <f>Raw_Data!K246</f>
        <v>20</v>
      </c>
      <c r="N246" s="5">
        <f>Raw_Data!L246</f>
        <v>360</v>
      </c>
      <c r="O246" s="5">
        <f t="shared" si="6"/>
        <v>202.5</v>
      </c>
      <c r="P246" s="13">
        <f t="shared" si="7"/>
        <v>0.45</v>
      </c>
      <c r="Q246" s="2" t="str">
        <f>Raw_Data!M246</f>
        <v>Cash</v>
      </c>
      <c r="R246" s="2" t="str">
        <f>Raw_Data!N246</f>
        <v>No</v>
      </c>
    </row>
    <row r="247" spans="1:18" x14ac:dyDescent="0.25">
      <c r="A247" s="7" t="str">
        <f>Raw_Data!A247</f>
        <v>ORD-0246</v>
      </c>
      <c r="B247" s="8">
        <f>Raw_Data!B247</f>
        <v>45323</v>
      </c>
      <c r="C247" s="7" t="str">
        <f>TEXT(Raw_Data!B247,"MMM")</f>
        <v>Feb</v>
      </c>
      <c r="D247" s="7">
        <f>YEAR(Raw_Data!B247)</f>
        <v>2024</v>
      </c>
      <c r="E247" s="9" t="str">
        <f>Raw_Data!C247</f>
        <v>Manish Shah</v>
      </c>
      <c r="F247" s="7" t="str">
        <f>Raw_Data!D247</f>
        <v>Jaipur</v>
      </c>
      <c r="G247" s="9" t="str">
        <f>Raw_Data!E247</f>
        <v>Antifungal Powder</v>
      </c>
      <c r="H247" s="7" t="str">
        <f>Raw_Data!F247</f>
        <v>Powder</v>
      </c>
      <c r="I247" s="7">
        <f>Raw_Data!G247</f>
        <v>7</v>
      </c>
      <c r="J247" s="10">
        <f>Raw_Data!H247</f>
        <v>55</v>
      </c>
      <c r="K247" s="10">
        <f>Raw_Data!I247</f>
        <v>30.25</v>
      </c>
      <c r="L247" s="10">
        <f>Raw_Data!J247</f>
        <v>385</v>
      </c>
      <c r="M247" s="11">
        <f>Raw_Data!K247</f>
        <v>20</v>
      </c>
      <c r="N247" s="10">
        <f>Raw_Data!L247</f>
        <v>308</v>
      </c>
      <c r="O247" s="10">
        <f t="shared" si="6"/>
        <v>173.25</v>
      </c>
      <c r="P247" s="14">
        <f t="shared" si="7"/>
        <v>0.45</v>
      </c>
      <c r="Q247" s="7" t="str">
        <f>Raw_Data!M247</f>
        <v>Card</v>
      </c>
      <c r="R247" s="7" t="str">
        <f>Raw_Data!N247</f>
        <v>No</v>
      </c>
    </row>
    <row r="248" spans="1:18" x14ac:dyDescent="0.25">
      <c r="A248" s="2" t="str">
        <f>Raw_Data!A248</f>
        <v>ORD-0247</v>
      </c>
      <c r="B248" s="3">
        <f>Raw_Data!B248</f>
        <v>45351</v>
      </c>
      <c r="C248" s="2" t="str">
        <f>TEXT(Raw_Data!B248,"MMM")</f>
        <v>Feb</v>
      </c>
      <c r="D248" s="2">
        <f>YEAR(Raw_Data!B248)</f>
        <v>2024</v>
      </c>
      <c r="E248" s="4" t="str">
        <f>Raw_Data!C248</f>
        <v>Priya Shah</v>
      </c>
      <c r="F248" s="2" t="str">
        <f>Raw_Data!D248</f>
        <v>Surat</v>
      </c>
      <c r="G248" s="4" t="str">
        <f>Raw_Data!E248</f>
        <v>Betadine Cream</v>
      </c>
      <c r="H248" s="2" t="str">
        <f>Raw_Data!F248</f>
        <v>Cream</v>
      </c>
      <c r="I248" s="2">
        <f>Raw_Data!G248</f>
        <v>16</v>
      </c>
      <c r="J248" s="5">
        <f>Raw_Data!H248</f>
        <v>85</v>
      </c>
      <c r="K248" s="5">
        <f>Raw_Data!I248</f>
        <v>39.950000000000003</v>
      </c>
      <c r="L248" s="5">
        <f>Raw_Data!J248</f>
        <v>1360</v>
      </c>
      <c r="M248" s="6">
        <f>Raw_Data!K248</f>
        <v>0</v>
      </c>
      <c r="N248" s="5">
        <f>Raw_Data!L248</f>
        <v>1360</v>
      </c>
      <c r="O248" s="5">
        <f t="shared" si="6"/>
        <v>720.8</v>
      </c>
      <c r="P248" s="13">
        <f t="shared" si="7"/>
        <v>0.52999999999999992</v>
      </c>
      <c r="Q248" s="2" t="str">
        <f>Raw_Data!M248</f>
        <v>Card</v>
      </c>
      <c r="R248" s="2" t="str">
        <f>Raw_Data!N248</f>
        <v>No</v>
      </c>
    </row>
    <row r="249" spans="1:18" x14ac:dyDescent="0.25">
      <c r="A249" s="7" t="str">
        <f>Raw_Data!A249</f>
        <v>ORD-0248</v>
      </c>
      <c r="B249" s="8">
        <f>Raw_Data!B249</f>
        <v>45359</v>
      </c>
      <c r="C249" s="7" t="str">
        <f>TEXT(Raw_Data!B249,"MMM")</f>
        <v>Mar</v>
      </c>
      <c r="D249" s="7">
        <f>YEAR(Raw_Data!B249)</f>
        <v>2024</v>
      </c>
      <c r="E249" s="9" t="str">
        <f>Raw_Data!C249</f>
        <v>Kavita Tiwari</v>
      </c>
      <c r="F249" s="7" t="str">
        <f>Raw_Data!D249</f>
        <v>Ahmedabad</v>
      </c>
      <c r="G249" s="9" t="str">
        <f>Raw_Data!E249</f>
        <v>Cipla Eye Drops</v>
      </c>
      <c r="H249" s="7" t="str">
        <f>Raw_Data!F249</f>
        <v>Drops</v>
      </c>
      <c r="I249" s="7">
        <f>Raw_Data!G249</f>
        <v>19</v>
      </c>
      <c r="J249" s="10">
        <f>Raw_Data!H249</f>
        <v>70</v>
      </c>
      <c r="K249" s="10">
        <f>Raw_Data!I249</f>
        <v>31.5</v>
      </c>
      <c r="L249" s="10">
        <f>Raw_Data!J249</f>
        <v>1330</v>
      </c>
      <c r="M249" s="11">
        <f>Raw_Data!K249</f>
        <v>0</v>
      </c>
      <c r="N249" s="10">
        <f>Raw_Data!L249</f>
        <v>1330</v>
      </c>
      <c r="O249" s="10">
        <f t="shared" si="6"/>
        <v>731.5</v>
      </c>
      <c r="P249" s="14">
        <f t="shared" si="7"/>
        <v>0.55000000000000004</v>
      </c>
      <c r="Q249" s="7" t="str">
        <f>Raw_Data!M249</f>
        <v>UPI</v>
      </c>
      <c r="R249" s="7" t="str">
        <f>Raw_Data!N249</f>
        <v>No</v>
      </c>
    </row>
    <row r="250" spans="1:18" x14ac:dyDescent="0.25">
      <c r="A250" s="2" t="str">
        <f>Raw_Data!A250</f>
        <v>ORD-0249</v>
      </c>
      <c r="B250" s="3">
        <f>Raw_Data!B250</f>
        <v>45303</v>
      </c>
      <c r="C250" s="2" t="str">
        <f>TEXT(Raw_Data!B250,"MMM")</f>
        <v>Jan</v>
      </c>
      <c r="D250" s="2">
        <f>YEAR(Raw_Data!B250)</f>
        <v>2024</v>
      </c>
      <c r="E250" s="4" t="str">
        <f>Raw_Data!C250</f>
        <v>Amit Verma</v>
      </c>
      <c r="F250" s="2" t="str">
        <f>Raw_Data!D250</f>
        <v>Mumbai</v>
      </c>
      <c r="G250" s="4" t="str">
        <f>Raw_Data!E250</f>
        <v>Fluconazole 150mg</v>
      </c>
      <c r="H250" s="2" t="str">
        <f>Raw_Data!F250</f>
        <v>Capsule</v>
      </c>
      <c r="I250" s="2">
        <f>Raw_Data!G250</f>
        <v>7</v>
      </c>
      <c r="J250" s="5">
        <f>Raw_Data!H250</f>
        <v>75</v>
      </c>
      <c r="K250" s="5">
        <f>Raw_Data!I250</f>
        <v>37.5</v>
      </c>
      <c r="L250" s="5">
        <f>Raw_Data!J250</f>
        <v>525</v>
      </c>
      <c r="M250" s="6">
        <f>Raw_Data!K250</f>
        <v>0</v>
      </c>
      <c r="N250" s="5">
        <f>Raw_Data!L250</f>
        <v>525</v>
      </c>
      <c r="O250" s="5">
        <f t="shared" si="6"/>
        <v>262.5</v>
      </c>
      <c r="P250" s="13">
        <f t="shared" si="7"/>
        <v>0.5</v>
      </c>
      <c r="Q250" s="2" t="str">
        <f>Raw_Data!M250</f>
        <v>Card</v>
      </c>
      <c r="R250" s="2" t="str">
        <f>Raw_Data!N250</f>
        <v>Yes</v>
      </c>
    </row>
    <row r="251" spans="1:18" x14ac:dyDescent="0.25">
      <c r="A251" s="7" t="str">
        <f>Raw_Data!A251</f>
        <v>ORD-0250</v>
      </c>
      <c r="B251" s="8">
        <f>Raw_Data!B251</f>
        <v>45322</v>
      </c>
      <c r="C251" s="7" t="str">
        <f>TEXT(Raw_Data!B251,"MMM")</f>
        <v>Jan</v>
      </c>
      <c r="D251" s="7">
        <f>YEAR(Raw_Data!B251)</f>
        <v>2024</v>
      </c>
      <c r="E251" s="9" t="str">
        <f>Raw_Data!C251</f>
        <v>Pooja Joshi</v>
      </c>
      <c r="F251" s="7" t="str">
        <f>Raw_Data!D251</f>
        <v>Mumbai</v>
      </c>
      <c r="G251" s="9" t="str">
        <f>Raw_Data!E251</f>
        <v>Pantoprazole 40mg</v>
      </c>
      <c r="H251" s="7" t="str">
        <f>Raw_Data!F251</f>
        <v>Tablet</v>
      </c>
      <c r="I251" s="7">
        <f>Raw_Data!G251</f>
        <v>10</v>
      </c>
      <c r="J251" s="10">
        <f>Raw_Data!H251</f>
        <v>75</v>
      </c>
      <c r="K251" s="10">
        <f>Raw_Data!I251</f>
        <v>39</v>
      </c>
      <c r="L251" s="10">
        <f>Raw_Data!J251</f>
        <v>750</v>
      </c>
      <c r="M251" s="11">
        <f>Raw_Data!K251</f>
        <v>10</v>
      </c>
      <c r="N251" s="10">
        <f>Raw_Data!L251</f>
        <v>675</v>
      </c>
      <c r="O251" s="10">
        <f t="shared" si="6"/>
        <v>360</v>
      </c>
      <c r="P251" s="14">
        <f t="shared" si="7"/>
        <v>0.48</v>
      </c>
      <c r="Q251" s="7" t="str">
        <f>Raw_Data!M251</f>
        <v>Cash</v>
      </c>
      <c r="R251" s="7" t="str">
        <f>Raw_Data!N251</f>
        <v>Yes</v>
      </c>
    </row>
    <row r="252" spans="1:18" x14ac:dyDescent="0.25">
      <c r="A252" s="2" t="str">
        <f>Raw_Data!A252</f>
        <v>ORD-0251</v>
      </c>
      <c r="B252" s="3">
        <f>Raw_Data!B252</f>
        <v>45487</v>
      </c>
      <c r="C252" s="2" t="str">
        <f>TEXT(Raw_Data!B252,"MMM")</f>
        <v>Jul</v>
      </c>
      <c r="D252" s="2">
        <f>YEAR(Raw_Data!B252)</f>
        <v>2024</v>
      </c>
      <c r="E252" s="4" t="str">
        <f>Raw_Data!C252</f>
        <v>Sunita Gupta</v>
      </c>
      <c r="F252" s="2" t="str">
        <f>Raw_Data!D252</f>
        <v>Kolkata</v>
      </c>
      <c r="G252" s="4" t="str">
        <f>Raw_Data!E252</f>
        <v>Vitamin D3 60K</v>
      </c>
      <c r="H252" s="2" t="str">
        <f>Raw_Data!F252</f>
        <v>Capsule</v>
      </c>
      <c r="I252" s="2">
        <f>Raw_Data!G252</f>
        <v>3</v>
      </c>
      <c r="J252" s="5">
        <f>Raw_Data!H252</f>
        <v>55</v>
      </c>
      <c r="K252" s="5">
        <f>Raw_Data!I252</f>
        <v>27.5</v>
      </c>
      <c r="L252" s="5">
        <f>Raw_Data!J252</f>
        <v>165</v>
      </c>
      <c r="M252" s="6">
        <f>Raw_Data!K252</f>
        <v>20</v>
      </c>
      <c r="N252" s="5">
        <f>Raw_Data!L252</f>
        <v>132</v>
      </c>
      <c r="O252" s="5">
        <f t="shared" si="6"/>
        <v>82.5</v>
      </c>
      <c r="P252" s="13">
        <f t="shared" si="7"/>
        <v>0.5</v>
      </c>
      <c r="Q252" s="2" t="str">
        <f>Raw_Data!M252</f>
        <v>UPI</v>
      </c>
      <c r="R252" s="2" t="str">
        <f>Raw_Data!N252</f>
        <v>Yes</v>
      </c>
    </row>
    <row r="253" spans="1:18" x14ac:dyDescent="0.25">
      <c r="A253" s="7" t="str">
        <f>Raw_Data!A253</f>
        <v>ORD-0252</v>
      </c>
      <c r="B253" s="8">
        <f>Raw_Data!B253</f>
        <v>45567</v>
      </c>
      <c r="C253" s="7" t="str">
        <f>TEXT(Raw_Data!B253,"MMM")</f>
        <v>Oct</v>
      </c>
      <c r="D253" s="7">
        <f>YEAR(Raw_Data!B253)</f>
        <v>2024</v>
      </c>
      <c r="E253" s="9" t="str">
        <f>Raw_Data!C253</f>
        <v>Swati Mehta</v>
      </c>
      <c r="F253" s="7" t="str">
        <f>Raw_Data!D253</f>
        <v>Hyderabad</v>
      </c>
      <c r="G253" s="9" t="str">
        <f>Raw_Data!E253</f>
        <v>Doxycycline 100mg</v>
      </c>
      <c r="H253" s="7" t="str">
        <f>Raw_Data!F253</f>
        <v>Capsule</v>
      </c>
      <c r="I253" s="7">
        <f>Raw_Data!G253</f>
        <v>1</v>
      </c>
      <c r="J253" s="10">
        <f>Raw_Data!H253</f>
        <v>90</v>
      </c>
      <c r="K253" s="10">
        <f>Raw_Data!I253</f>
        <v>45</v>
      </c>
      <c r="L253" s="10">
        <f>Raw_Data!J253</f>
        <v>90</v>
      </c>
      <c r="M253" s="11">
        <f>Raw_Data!K253</f>
        <v>0</v>
      </c>
      <c r="N253" s="10">
        <f>Raw_Data!L253</f>
        <v>90</v>
      </c>
      <c r="O253" s="10">
        <f t="shared" si="6"/>
        <v>45</v>
      </c>
      <c r="P253" s="14">
        <f t="shared" si="7"/>
        <v>0.5</v>
      </c>
      <c r="Q253" s="7" t="str">
        <f>Raw_Data!M253</f>
        <v>Card</v>
      </c>
      <c r="R253" s="7" t="str">
        <f>Raw_Data!N253</f>
        <v>No</v>
      </c>
    </row>
    <row r="254" spans="1:18" x14ac:dyDescent="0.25">
      <c r="A254" s="2" t="str">
        <f>Raw_Data!A254</f>
        <v>ORD-0253</v>
      </c>
      <c r="B254" s="3">
        <f>Raw_Data!B254</f>
        <v>45564</v>
      </c>
      <c r="C254" s="2" t="str">
        <f>TEXT(Raw_Data!B254,"MMM")</f>
        <v>Sep</v>
      </c>
      <c r="D254" s="2">
        <f>YEAR(Raw_Data!B254)</f>
        <v>2024</v>
      </c>
      <c r="E254" s="4" t="str">
        <f>Raw_Data!C254</f>
        <v>Sunita Sharma</v>
      </c>
      <c r="F254" s="2" t="str">
        <f>Raw_Data!D254</f>
        <v>Hyderabad</v>
      </c>
      <c r="G254" s="4" t="str">
        <f>Raw_Data!E254</f>
        <v>Doxycycline 100mg</v>
      </c>
      <c r="H254" s="2" t="str">
        <f>Raw_Data!F254</f>
        <v>Capsule</v>
      </c>
      <c r="I254" s="2">
        <f>Raw_Data!G254</f>
        <v>15</v>
      </c>
      <c r="J254" s="5">
        <f>Raw_Data!H254</f>
        <v>90</v>
      </c>
      <c r="K254" s="5">
        <f>Raw_Data!I254</f>
        <v>45</v>
      </c>
      <c r="L254" s="5">
        <f>Raw_Data!J254</f>
        <v>1350</v>
      </c>
      <c r="M254" s="6">
        <f>Raw_Data!K254</f>
        <v>10</v>
      </c>
      <c r="N254" s="5">
        <f>Raw_Data!L254</f>
        <v>1215</v>
      </c>
      <c r="O254" s="5">
        <f t="shared" si="6"/>
        <v>675</v>
      </c>
      <c r="P254" s="13">
        <f t="shared" si="7"/>
        <v>0.5</v>
      </c>
      <c r="Q254" s="2" t="str">
        <f>Raw_Data!M254</f>
        <v>Cash</v>
      </c>
      <c r="R254" s="2" t="str">
        <f>Raw_Data!N254</f>
        <v>Yes</v>
      </c>
    </row>
    <row r="255" spans="1:18" x14ac:dyDescent="0.25">
      <c r="A255" s="7" t="str">
        <f>Raw_Data!A255</f>
        <v>ORD-0254</v>
      </c>
      <c r="B255" s="8">
        <f>Raw_Data!B255</f>
        <v>45630</v>
      </c>
      <c r="C255" s="7" t="str">
        <f>TEXT(Raw_Data!B255,"MMM")</f>
        <v>Dec</v>
      </c>
      <c r="D255" s="7">
        <f>YEAR(Raw_Data!B255)</f>
        <v>2024</v>
      </c>
      <c r="E255" s="9" t="str">
        <f>Raw_Data!C255</f>
        <v>Nisha Agarwal</v>
      </c>
      <c r="F255" s="7" t="str">
        <f>Raw_Data!D255</f>
        <v>Hyderabad</v>
      </c>
      <c r="G255" s="9" t="str">
        <f>Raw_Data!E255</f>
        <v>Omeprazole 20mg</v>
      </c>
      <c r="H255" s="7" t="str">
        <f>Raw_Data!F255</f>
        <v>Capsule</v>
      </c>
      <c r="I255" s="7">
        <f>Raw_Data!G255</f>
        <v>7</v>
      </c>
      <c r="J255" s="10">
        <f>Raw_Data!H255</f>
        <v>40</v>
      </c>
      <c r="K255" s="10">
        <f>Raw_Data!I255</f>
        <v>20</v>
      </c>
      <c r="L255" s="10">
        <f>Raw_Data!J255</f>
        <v>280</v>
      </c>
      <c r="M255" s="11">
        <f>Raw_Data!K255</f>
        <v>0</v>
      </c>
      <c r="N255" s="10">
        <f>Raw_Data!L255</f>
        <v>280</v>
      </c>
      <c r="O255" s="10">
        <f t="shared" si="6"/>
        <v>140</v>
      </c>
      <c r="P255" s="14">
        <f t="shared" si="7"/>
        <v>0.5</v>
      </c>
      <c r="Q255" s="7" t="str">
        <f>Raw_Data!M255</f>
        <v>Cash</v>
      </c>
      <c r="R255" s="7" t="str">
        <f>Raw_Data!N255</f>
        <v>Yes</v>
      </c>
    </row>
    <row r="256" spans="1:18" x14ac:dyDescent="0.25">
      <c r="A256" s="2" t="str">
        <f>Raw_Data!A256</f>
        <v>ORD-0255</v>
      </c>
      <c r="B256" s="3">
        <f>Raw_Data!B256</f>
        <v>45652</v>
      </c>
      <c r="C256" s="2" t="str">
        <f>TEXT(Raw_Data!B256,"MMM")</f>
        <v>Dec</v>
      </c>
      <c r="D256" s="2">
        <f>YEAR(Raw_Data!B256)</f>
        <v>2024</v>
      </c>
      <c r="E256" s="4" t="str">
        <f>Raw_Data!C256</f>
        <v>Priya Gupta</v>
      </c>
      <c r="F256" s="2" t="str">
        <f>Raw_Data!D256</f>
        <v>Hyderabad</v>
      </c>
      <c r="G256" s="4" t="str">
        <f>Raw_Data!E256</f>
        <v>ORS Electrolyte</v>
      </c>
      <c r="H256" s="2" t="str">
        <f>Raw_Data!F256</f>
        <v>Powder</v>
      </c>
      <c r="I256" s="2">
        <f>Raw_Data!G256</f>
        <v>2</v>
      </c>
      <c r="J256" s="5">
        <f>Raw_Data!H256</f>
        <v>30</v>
      </c>
      <c r="K256" s="5">
        <f>Raw_Data!I256</f>
        <v>16.5</v>
      </c>
      <c r="L256" s="5">
        <f>Raw_Data!J256</f>
        <v>60</v>
      </c>
      <c r="M256" s="6">
        <f>Raw_Data!K256</f>
        <v>10</v>
      </c>
      <c r="N256" s="5">
        <f>Raw_Data!L256</f>
        <v>54</v>
      </c>
      <c r="O256" s="5">
        <f t="shared" si="6"/>
        <v>27</v>
      </c>
      <c r="P256" s="13">
        <f t="shared" si="7"/>
        <v>0.45</v>
      </c>
      <c r="Q256" s="2" t="str">
        <f>Raw_Data!M256</f>
        <v>Card</v>
      </c>
      <c r="R256" s="2" t="str">
        <f>Raw_Data!N256</f>
        <v>No</v>
      </c>
    </row>
    <row r="257" spans="1:18" x14ac:dyDescent="0.25">
      <c r="A257" s="7" t="str">
        <f>Raw_Data!A257</f>
        <v>ORD-0256</v>
      </c>
      <c r="B257" s="8">
        <f>Raw_Data!B257</f>
        <v>45549</v>
      </c>
      <c r="C257" s="7" t="str">
        <f>TEXT(Raw_Data!B257,"MMM")</f>
        <v>Sep</v>
      </c>
      <c r="D257" s="7">
        <f>YEAR(Raw_Data!B257)</f>
        <v>2024</v>
      </c>
      <c r="E257" s="9" t="str">
        <f>Raw_Data!C257</f>
        <v>Manish Singh</v>
      </c>
      <c r="F257" s="7" t="str">
        <f>Raw_Data!D257</f>
        <v>Surat</v>
      </c>
      <c r="G257" s="9" t="str">
        <f>Raw_Data!E257</f>
        <v>Ondansetron Inj</v>
      </c>
      <c r="H257" s="7" t="str">
        <f>Raw_Data!F257</f>
        <v>Injection</v>
      </c>
      <c r="I257" s="7">
        <f>Raw_Data!G257</f>
        <v>11</v>
      </c>
      <c r="J257" s="10">
        <f>Raw_Data!H257</f>
        <v>120</v>
      </c>
      <c r="K257" s="10">
        <f>Raw_Data!I257</f>
        <v>72</v>
      </c>
      <c r="L257" s="10">
        <f>Raw_Data!J257</f>
        <v>1320</v>
      </c>
      <c r="M257" s="11">
        <f>Raw_Data!K257</f>
        <v>10</v>
      </c>
      <c r="N257" s="10">
        <f>Raw_Data!L257</f>
        <v>1188</v>
      </c>
      <c r="O257" s="10">
        <f t="shared" si="6"/>
        <v>528</v>
      </c>
      <c r="P257" s="14">
        <f t="shared" si="7"/>
        <v>0.4</v>
      </c>
      <c r="Q257" s="7" t="str">
        <f>Raw_Data!M257</f>
        <v>UPI</v>
      </c>
      <c r="R257" s="7" t="str">
        <f>Raw_Data!N257</f>
        <v>Yes</v>
      </c>
    </row>
    <row r="258" spans="1:18" x14ac:dyDescent="0.25">
      <c r="A258" s="2" t="str">
        <f>Raw_Data!A258</f>
        <v>ORD-0257</v>
      </c>
      <c r="B258" s="3">
        <f>Raw_Data!B258</f>
        <v>45503</v>
      </c>
      <c r="C258" s="2" t="str">
        <f>TEXT(Raw_Data!B258,"MMM")</f>
        <v>Jul</v>
      </c>
      <c r="D258" s="2">
        <f>YEAR(Raw_Data!B258)</f>
        <v>2024</v>
      </c>
      <c r="E258" s="4" t="str">
        <f>Raw_Data!C258</f>
        <v>Rekha Sharma</v>
      </c>
      <c r="F258" s="2" t="str">
        <f>Raw_Data!D258</f>
        <v>Mumbai</v>
      </c>
      <c r="G258" s="4" t="str">
        <f>Raw_Data!E258</f>
        <v>Dexamethasone Inj</v>
      </c>
      <c r="H258" s="2" t="str">
        <f>Raw_Data!F258</f>
        <v>Injection</v>
      </c>
      <c r="I258" s="2">
        <f>Raw_Data!G258</f>
        <v>18</v>
      </c>
      <c r="J258" s="5">
        <f>Raw_Data!H258</f>
        <v>95</v>
      </c>
      <c r="K258" s="5">
        <f>Raw_Data!I258</f>
        <v>57</v>
      </c>
      <c r="L258" s="5">
        <f>Raw_Data!J258</f>
        <v>1710</v>
      </c>
      <c r="M258" s="6">
        <f>Raw_Data!K258</f>
        <v>0</v>
      </c>
      <c r="N258" s="5">
        <f>Raw_Data!L258</f>
        <v>1710</v>
      </c>
      <c r="O258" s="5">
        <f t="shared" ref="O258:O321" si="8">L258-(I258*K258)</f>
        <v>684</v>
      </c>
      <c r="P258" s="13">
        <f t="shared" ref="P258:P321" si="9">IFERROR((L258-(I258*K258))/L258,0)</f>
        <v>0.4</v>
      </c>
      <c r="Q258" s="2" t="str">
        <f>Raw_Data!M258</f>
        <v>Card</v>
      </c>
      <c r="R258" s="2" t="str">
        <f>Raw_Data!N258</f>
        <v>Yes</v>
      </c>
    </row>
    <row r="259" spans="1:18" x14ac:dyDescent="0.25">
      <c r="A259" s="7" t="str">
        <f>Raw_Data!A259</f>
        <v>ORD-0258</v>
      </c>
      <c r="B259" s="8">
        <f>Raw_Data!B259</f>
        <v>45468</v>
      </c>
      <c r="C259" s="7" t="str">
        <f>TEXT(Raw_Data!B259,"MMM")</f>
        <v>Jun</v>
      </c>
      <c r="D259" s="7">
        <f>YEAR(Raw_Data!B259)</f>
        <v>2024</v>
      </c>
      <c r="E259" s="9" t="str">
        <f>Raw_Data!C259</f>
        <v>Kavita Mehta</v>
      </c>
      <c r="F259" s="7" t="str">
        <f>Raw_Data!D259</f>
        <v>Kolkata</v>
      </c>
      <c r="G259" s="9" t="str">
        <f>Raw_Data!E259</f>
        <v>Soframycin Cream</v>
      </c>
      <c r="H259" s="7" t="str">
        <f>Raw_Data!F259</f>
        <v>Cream</v>
      </c>
      <c r="I259" s="7">
        <f>Raw_Data!G259</f>
        <v>17</v>
      </c>
      <c r="J259" s="10">
        <f>Raw_Data!H259</f>
        <v>72</v>
      </c>
      <c r="K259" s="10">
        <f>Raw_Data!I259</f>
        <v>33.840000000000003</v>
      </c>
      <c r="L259" s="10">
        <f>Raw_Data!J259</f>
        <v>1224</v>
      </c>
      <c r="M259" s="11">
        <f>Raw_Data!K259</f>
        <v>10</v>
      </c>
      <c r="N259" s="10">
        <f>Raw_Data!L259</f>
        <v>1101.5999999999999</v>
      </c>
      <c r="O259" s="10">
        <f t="shared" si="8"/>
        <v>648.71999999999991</v>
      </c>
      <c r="P259" s="14">
        <f t="shared" si="9"/>
        <v>0.52999999999999992</v>
      </c>
      <c r="Q259" s="7" t="str">
        <f>Raw_Data!M259</f>
        <v>Card</v>
      </c>
      <c r="R259" s="7" t="str">
        <f>Raw_Data!N259</f>
        <v>No</v>
      </c>
    </row>
    <row r="260" spans="1:18" x14ac:dyDescent="0.25">
      <c r="A260" s="2" t="str">
        <f>Raw_Data!A260</f>
        <v>ORD-0259</v>
      </c>
      <c r="B260" s="3">
        <f>Raw_Data!B260</f>
        <v>45386</v>
      </c>
      <c r="C260" s="2" t="str">
        <f>TEXT(Raw_Data!B260,"MMM")</f>
        <v>Apr</v>
      </c>
      <c r="D260" s="2">
        <f>YEAR(Raw_Data!B260)</f>
        <v>2024</v>
      </c>
      <c r="E260" s="4" t="str">
        <f>Raw_Data!C260</f>
        <v>Sanjay Nair</v>
      </c>
      <c r="F260" s="2" t="str">
        <f>Raw_Data!D260</f>
        <v>Ahmedabad</v>
      </c>
      <c r="G260" s="4" t="str">
        <f>Raw_Data!E260</f>
        <v>Antifungal Powder</v>
      </c>
      <c r="H260" s="2" t="str">
        <f>Raw_Data!F260</f>
        <v>Powder</v>
      </c>
      <c r="I260" s="2">
        <f>Raw_Data!G260</f>
        <v>8</v>
      </c>
      <c r="J260" s="5">
        <f>Raw_Data!H260</f>
        <v>55</v>
      </c>
      <c r="K260" s="5">
        <f>Raw_Data!I260</f>
        <v>30.25</v>
      </c>
      <c r="L260" s="5">
        <f>Raw_Data!J260</f>
        <v>440</v>
      </c>
      <c r="M260" s="6">
        <f>Raw_Data!K260</f>
        <v>5</v>
      </c>
      <c r="N260" s="5">
        <f>Raw_Data!L260</f>
        <v>418</v>
      </c>
      <c r="O260" s="5">
        <f t="shared" si="8"/>
        <v>198</v>
      </c>
      <c r="P260" s="13">
        <f t="shared" si="9"/>
        <v>0.45</v>
      </c>
      <c r="Q260" s="2" t="str">
        <f>Raw_Data!M260</f>
        <v>UPI</v>
      </c>
      <c r="R260" s="2" t="str">
        <f>Raw_Data!N260</f>
        <v>No</v>
      </c>
    </row>
    <row r="261" spans="1:18" x14ac:dyDescent="0.25">
      <c r="A261" s="7" t="str">
        <f>Raw_Data!A261</f>
        <v>ORD-0260</v>
      </c>
      <c r="B261" s="8">
        <f>Raw_Data!B261</f>
        <v>45321</v>
      </c>
      <c r="C261" s="7" t="str">
        <f>TEXT(Raw_Data!B261,"MMM")</f>
        <v>Jan</v>
      </c>
      <c r="D261" s="7">
        <f>YEAR(Raw_Data!B261)</f>
        <v>2024</v>
      </c>
      <c r="E261" s="9" t="str">
        <f>Raw_Data!C261</f>
        <v>Rohit Joshi</v>
      </c>
      <c r="F261" s="7" t="str">
        <f>Raw_Data!D261</f>
        <v>Kolkata</v>
      </c>
      <c r="G261" s="9" t="str">
        <f>Raw_Data!E261</f>
        <v>Cipla Eye Drops</v>
      </c>
      <c r="H261" s="7" t="str">
        <f>Raw_Data!F261</f>
        <v>Drops</v>
      </c>
      <c r="I261" s="7">
        <f>Raw_Data!G261</f>
        <v>18</v>
      </c>
      <c r="J261" s="10">
        <f>Raw_Data!H261</f>
        <v>70</v>
      </c>
      <c r="K261" s="10">
        <f>Raw_Data!I261</f>
        <v>31.5</v>
      </c>
      <c r="L261" s="10">
        <f>Raw_Data!J261</f>
        <v>1260</v>
      </c>
      <c r="M261" s="11">
        <f>Raw_Data!K261</f>
        <v>20</v>
      </c>
      <c r="N261" s="10">
        <f>Raw_Data!L261</f>
        <v>1008</v>
      </c>
      <c r="O261" s="10">
        <f t="shared" si="8"/>
        <v>693</v>
      </c>
      <c r="P261" s="14">
        <f t="shared" si="9"/>
        <v>0.55000000000000004</v>
      </c>
      <c r="Q261" s="7" t="str">
        <f>Raw_Data!M261</f>
        <v>Cash</v>
      </c>
      <c r="R261" s="7" t="str">
        <f>Raw_Data!N261</f>
        <v>Yes</v>
      </c>
    </row>
    <row r="262" spans="1:18" x14ac:dyDescent="0.25">
      <c r="A262" s="2" t="str">
        <f>Raw_Data!A262</f>
        <v>ORD-0261</v>
      </c>
      <c r="B262" s="3">
        <f>Raw_Data!B262</f>
        <v>45623</v>
      </c>
      <c r="C262" s="2" t="str">
        <f>TEXT(Raw_Data!B262,"MMM")</f>
        <v>Nov</v>
      </c>
      <c r="D262" s="2">
        <f>YEAR(Raw_Data!B262)</f>
        <v>2024</v>
      </c>
      <c r="E262" s="4" t="str">
        <f>Raw_Data!C262</f>
        <v>Suresh Mehta</v>
      </c>
      <c r="F262" s="2" t="str">
        <f>Raw_Data!D262</f>
        <v>Pune</v>
      </c>
      <c r="G262" s="4" t="str">
        <f>Raw_Data!E262</f>
        <v>Pantoprazole 40mg</v>
      </c>
      <c r="H262" s="2" t="str">
        <f>Raw_Data!F262</f>
        <v>Tablet</v>
      </c>
      <c r="I262" s="2">
        <f>Raw_Data!G262</f>
        <v>3</v>
      </c>
      <c r="J262" s="5">
        <f>Raw_Data!H262</f>
        <v>75</v>
      </c>
      <c r="K262" s="5">
        <f>Raw_Data!I262</f>
        <v>39</v>
      </c>
      <c r="L262" s="5">
        <f>Raw_Data!J262</f>
        <v>225</v>
      </c>
      <c r="M262" s="6">
        <f>Raw_Data!K262</f>
        <v>20</v>
      </c>
      <c r="N262" s="5">
        <f>Raw_Data!L262</f>
        <v>180</v>
      </c>
      <c r="O262" s="5">
        <f t="shared" si="8"/>
        <v>108</v>
      </c>
      <c r="P262" s="13">
        <f t="shared" si="9"/>
        <v>0.48</v>
      </c>
      <c r="Q262" s="2" t="str">
        <f>Raw_Data!M262</f>
        <v>Cash</v>
      </c>
      <c r="R262" s="2" t="str">
        <f>Raw_Data!N262</f>
        <v>No</v>
      </c>
    </row>
    <row r="263" spans="1:18" x14ac:dyDescent="0.25">
      <c r="A263" s="7" t="str">
        <f>Raw_Data!A263</f>
        <v>ORD-0262</v>
      </c>
      <c r="B263" s="8">
        <f>Raw_Data!B263</f>
        <v>45636</v>
      </c>
      <c r="C263" s="7" t="str">
        <f>TEXT(Raw_Data!B263,"MMM")</f>
        <v>Dec</v>
      </c>
      <c r="D263" s="7">
        <f>YEAR(Raw_Data!B263)</f>
        <v>2024</v>
      </c>
      <c r="E263" s="9" t="str">
        <f>Raw_Data!C263</f>
        <v>Swati Singh</v>
      </c>
      <c r="F263" s="7" t="str">
        <f>Raw_Data!D263</f>
        <v>Mumbai</v>
      </c>
      <c r="G263" s="9" t="str">
        <f>Raw_Data!E263</f>
        <v>Refresh Tears</v>
      </c>
      <c r="H263" s="7" t="str">
        <f>Raw_Data!F263</f>
        <v>Drops</v>
      </c>
      <c r="I263" s="7">
        <f>Raw_Data!G263</f>
        <v>3</v>
      </c>
      <c r="J263" s="10">
        <f>Raw_Data!H263</f>
        <v>110</v>
      </c>
      <c r="K263" s="10">
        <f>Raw_Data!I263</f>
        <v>49.5</v>
      </c>
      <c r="L263" s="10">
        <f>Raw_Data!J263</f>
        <v>330</v>
      </c>
      <c r="M263" s="11">
        <f>Raw_Data!K263</f>
        <v>5</v>
      </c>
      <c r="N263" s="10">
        <f>Raw_Data!L263</f>
        <v>313.5</v>
      </c>
      <c r="O263" s="10">
        <f t="shared" si="8"/>
        <v>181.5</v>
      </c>
      <c r="P263" s="14">
        <f t="shared" si="9"/>
        <v>0.55000000000000004</v>
      </c>
      <c r="Q263" s="7" t="str">
        <f>Raw_Data!M263</f>
        <v>Card</v>
      </c>
      <c r="R263" s="7" t="str">
        <f>Raw_Data!N263</f>
        <v>No</v>
      </c>
    </row>
    <row r="264" spans="1:18" x14ac:dyDescent="0.25">
      <c r="A264" s="2" t="str">
        <f>Raw_Data!A264</f>
        <v>ORD-0263</v>
      </c>
      <c r="B264" s="3">
        <f>Raw_Data!B264</f>
        <v>45537</v>
      </c>
      <c r="C264" s="2" t="str">
        <f>TEXT(Raw_Data!B264,"MMM")</f>
        <v>Sep</v>
      </c>
      <c r="D264" s="2">
        <f>YEAR(Raw_Data!B264)</f>
        <v>2024</v>
      </c>
      <c r="E264" s="4" t="str">
        <f>Raw_Data!C264</f>
        <v>Sunita Tiwari</v>
      </c>
      <c r="F264" s="2" t="str">
        <f>Raw_Data!D264</f>
        <v>Chennai</v>
      </c>
      <c r="G264" s="4" t="str">
        <f>Raw_Data!E264</f>
        <v>Paracetamol Syrup</v>
      </c>
      <c r="H264" s="2" t="str">
        <f>Raw_Data!F264</f>
        <v>Syrup</v>
      </c>
      <c r="I264" s="2">
        <f>Raw_Data!G264</f>
        <v>1</v>
      </c>
      <c r="J264" s="5">
        <f>Raw_Data!H264</f>
        <v>45</v>
      </c>
      <c r="K264" s="5">
        <f>Raw_Data!I264</f>
        <v>21.6</v>
      </c>
      <c r="L264" s="5">
        <f>Raw_Data!J264</f>
        <v>45</v>
      </c>
      <c r="M264" s="6">
        <f>Raw_Data!K264</f>
        <v>5</v>
      </c>
      <c r="N264" s="5">
        <f>Raw_Data!L264</f>
        <v>42.75</v>
      </c>
      <c r="O264" s="5">
        <f t="shared" si="8"/>
        <v>23.4</v>
      </c>
      <c r="P264" s="13">
        <f t="shared" si="9"/>
        <v>0.52</v>
      </c>
      <c r="Q264" s="2" t="str">
        <f>Raw_Data!M264</f>
        <v>UPI</v>
      </c>
      <c r="R264" s="2" t="str">
        <f>Raw_Data!N264</f>
        <v>No</v>
      </c>
    </row>
    <row r="265" spans="1:18" x14ac:dyDescent="0.25">
      <c r="A265" s="7" t="str">
        <f>Raw_Data!A265</f>
        <v>ORD-0264</v>
      </c>
      <c r="B265" s="8">
        <f>Raw_Data!B265</f>
        <v>45537</v>
      </c>
      <c r="C265" s="7" t="str">
        <f>TEXT(Raw_Data!B265,"MMM")</f>
        <v>Sep</v>
      </c>
      <c r="D265" s="7">
        <f>YEAR(Raw_Data!B265)</f>
        <v>2024</v>
      </c>
      <c r="E265" s="9" t="str">
        <f>Raw_Data!C265</f>
        <v>Nikhil Shah</v>
      </c>
      <c r="F265" s="7" t="str">
        <f>Raw_Data!D265</f>
        <v>Hyderabad</v>
      </c>
      <c r="G265" s="9" t="str">
        <f>Raw_Data!E265</f>
        <v>Antacid Syrup</v>
      </c>
      <c r="H265" s="7" t="str">
        <f>Raw_Data!F265</f>
        <v>Syrup</v>
      </c>
      <c r="I265" s="7">
        <f>Raw_Data!G265</f>
        <v>13</v>
      </c>
      <c r="J265" s="10">
        <f>Raw_Data!H265</f>
        <v>80</v>
      </c>
      <c r="K265" s="10">
        <f>Raw_Data!I265</f>
        <v>38.4</v>
      </c>
      <c r="L265" s="10">
        <f>Raw_Data!J265</f>
        <v>1040</v>
      </c>
      <c r="M265" s="11">
        <f>Raw_Data!K265</f>
        <v>5</v>
      </c>
      <c r="N265" s="10">
        <f>Raw_Data!L265</f>
        <v>988</v>
      </c>
      <c r="O265" s="10">
        <f t="shared" si="8"/>
        <v>540.79999999999995</v>
      </c>
      <c r="P265" s="14">
        <f t="shared" si="9"/>
        <v>0.51999999999999991</v>
      </c>
      <c r="Q265" s="7" t="str">
        <f>Raw_Data!M265</f>
        <v>UPI</v>
      </c>
      <c r="R265" s="7" t="str">
        <f>Raw_Data!N265</f>
        <v>No</v>
      </c>
    </row>
    <row r="266" spans="1:18" x14ac:dyDescent="0.25">
      <c r="A266" s="2" t="str">
        <f>Raw_Data!A266</f>
        <v>ORD-0265</v>
      </c>
      <c r="B266" s="3">
        <f>Raw_Data!B266</f>
        <v>45565</v>
      </c>
      <c r="C266" s="2" t="str">
        <f>TEXT(Raw_Data!B266,"MMM")</f>
        <v>Sep</v>
      </c>
      <c r="D266" s="2">
        <f>YEAR(Raw_Data!B266)</f>
        <v>2024</v>
      </c>
      <c r="E266" s="4" t="str">
        <f>Raw_Data!C266</f>
        <v>Sunita Dubey</v>
      </c>
      <c r="F266" s="2" t="str">
        <f>Raw_Data!D266</f>
        <v>Chennai</v>
      </c>
      <c r="G266" s="4" t="str">
        <f>Raw_Data!E266</f>
        <v>Candid Cream</v>
      </c>
      <c r="H266" s="2" t="str">
        <f>Raw_Data!F266</f>
        <v>Cream</v>
      </c>
      <c r="I266" s="2">
        <f>Raw_Data!G266</f>
        <v>9</v>
      </c>
      <c r="J266" s="5">
        <f>Raw_Data!H266</f>
        <v>65</v>
      </c>
      <c r="K266" s="5">
        <f>Raw_Data!I266</f>
        <v>30.55</v>
      </c>
      <c r="L266" s="5">
        <f>Raw_Data!J266</f>
        <v>585</v>
      </c>
      <c r="M266" s="6">
        <f>Raw_Data!K266</f>
        <v>10</v>
      </c>
      <c r="N266" s="5">
        <f>Raw_Data!L266</f>
        <v>526.5</v>
      </c>
      <c r="O266" s="5">
        <f t="shared" si="8"/>
        <v>310.05</v>
      </c>
      <c r="P266" s="13">
        <f t="shared" si="9"/>
        <v>0.53</v>
      </c>
      <c r="Q266" s="2" t="str">
        <f>Raw_Data!M266</f>
        <v>Card</v>
      </c>
      <c r="R266" s="2" t="str">
        <f>Raw_Data!N266</f>
        <v>No</v>
      </c>
    </row>
    <row r="267" spans="1:18" x14ac:dyDescent="0.25">
      <c r="A267" s="7" t="str">
        <f>Raw_Data!A267</f>
        <v>ORD-0266</v>
      </c>
      <c r="B267" s="8">
        <f>Raw_Data!B267</f>
        <v>45532</v>
      </c>
      <c r="C267" s="7" t="str">
        <f>TEXT(Raw_Data!B267,"MMM")</f>
        <v>Aug</v>
      </c>
      <c r="D267" s="7">
        <f>YEAR(Raw_Data!B267)</f>
        <v>2024</v>
      </c>
      <c r="E267" s="9" t="str">
        <f>Raw_Data!C267</f>
        <v>Deepa Tiwari</v>
      </c>
      <c r="F267" s="7" t="str">
        <f>Raw_Data!D267</f>
        <v>Hyderabad</v>
      </c>
      <c r="G267" s="9" t="str">
        <f>Raw_Data!E267</f>
        <v>Protein Supplement</v>
      </c>
      <c r="H267" s="7" t="str">
        <f>Raw_Data!F267</f>
        <v>Powder</v>
      </c>
      <c r="I267" s="7">
        <f>Raw_Data!G267</f>
        <v>12</v>
      </c>
      <c r="J267" s="10">
        <f>Raw_Data!H267</f>
        <v>450</v>
      </c>
      <c r="K267" s="10">
        <f>Raw_Data!I267</f>
        <v>247.5</v>
      </c>
      <c r="L267" s="10">
        <f>Raw_Data!J267</f>
        <v>5400</v>
      </c>
      <c r="M267" s="11">
        <f>Raw_Data!K267</f>
        <v>10</v>
      </c>
      <c r="N267" s="10">
        <f>Raw_Data!L267</f>
        <v>4860</v>
      </c>
      <c r="O267" s="10">
        <f t="shared" si="8"/>
        <v>2430</v>
      </c>
      <c r="P267" s="14">
        <f t="shared" si="9"/>
        <v>0.45</v>
      </c>
      <c r="Q267" s="7" t="str">
        <f>Raw_Data!M267</f>
        <v>Card</v>
      </c>
      <c r="R267" s="7" t="str">
        <f>Raw_Data!N267</f>
        <v>No</v>
      </c>
    </row>
    <row r="268" spans="1:18" x14ac:dyDescent="0.25">
      <c r="A268" s="2" t="str">
        <f>Raw_Data!A268</f>
        <v>ORD-0267</v>
      </c>
      <c r="B268" s="3">
        <f>Raw_Data!B268</f>
        <v>45366</v>
      </c>
      <c r="C268" s="2" t="str">
        <f>TEXT(Raw_Data!B268,"MMM")</f>
        <v>Mar</v>
      </c>
      <c r="D268" s="2">
        <f>YEAR(Raw_Data!B268)</f>
        <v>2024</v>
      </c>
      <c r="E268" s="4" t="str">
        <f>Raw_Data!C268</f>
        <v>Deepa Mehta</v>
      </c>
      <c r="F268" s="2" t="str">
        <f>Raw_Data!D268</f>
        <v>Jaipur</v>
      </c>
      <c r="G268" s="4" t="str">
        <f>Raw_Data!E268</f>
        <v>Cetirizine 10mg</v>
      </c>
      <c r="H268" s="2" t="str">
        <f>Raw_Data!F268</f>
        <v>Tablet</v>
      </c>
      <c r="I268" s="2">
        <f>Raw_Data!G268</f>
        <v>19</v>
      </c>
      <c r="J268" s="5">
        <f>Raw_Data!H268</f>
        <v>35</v>
      </c>
      <c r="K268" s="5">
        <f>Raw_Data!I268</f>
        <v>18.2</v>
      </c>
      <c r="L268" s="5">
        <f>Raw_Data!J268</f>
        <v>665</v>
      </c>
      <c r="M268" s="6">
        <f>Raw_Data!K268</f>
        <v>10</v>
      </c>
      <c r="N268" s="5">
        <f>Raw_Data!L268</f>
        <v>598.5</v>
      </c>
      <c r="O268" s="5">
        <f t="shared" si="8"/>
        <v>319.2</v>
      </c>
      <c r="P268" s="13">
        <f t="shared" si="9"/>
        <v>0.48</v>
      </c>
      <c r="Q268" s="2" t="str">
        <f>Raw_Data!M268</f>
        <v>Cash</v>
      </c>
      <c r="R268" s="2" t="str">
        <f>Raw_Data!N268</f>
        <v>Yes</v>
      </c>
    </row>
    <row r="269" spans="1:18" x14ac:dyDescent="0.25">
      <c r="A269" s="7" t="str">
        <f>Raw_Data!A269</f>
        <v>ORD-0268</v>
      </c>
      <c r="B269" s="8">
        <f>Raw_Data!B269</f>
        <v>45583</v>
      </c>
      <c r="C269" s="7" t="str">
        <f>TEXT(Raw_Data!B269,"MMM")</f>
        <v>Oct</v>
      </c>
      <c r="D269" s="7">
        <f>YEAR(Raw_Data!B269)</f>
        <v>2024</v>
      </c>
      <c r="E269" s="9" t="str">
        <f>Raw_Data!C269</f>
        <v>Rekha Shah</v>
      </c>
      <c r="F269" s="7" t="str">
        <f>Raw_Data!D269</f>
        <v>Ahmedabad</v>
      </c>
      <c r="G269" s="9" t="str">
        <f>Raw_Data!E269</f>
        <v>ORS Electrolyte</v>
      </c>
      <c r="H269" s="7" t="str">
        <f>Raw_Data!F269</f>
        <v>Powder</v>
      </c>
      <c r="I269" s="7">
        <f>Raw_Data!G269</f>
        <v>18</v>
      </c>
      <c r="J269" s="10">
        <f>Raw_Data!H269</f>
        <v>30</v>
      </c>
      <c r="K269" s="10">
        <f>Raw_Data!I269</f>
        <v>16.5</v>
      </c>
      <c r="L269" s="10">
        <f>Raw_Data!J269</f>
        <v>540</v>
      </c>
      <c r="M269" s="11">
        <f>Raw_Data!K269</f>
        <v>10</v>
      </c>
      <c r="N269" s="10">
        <f>Raw_Data!L269</f>
        <v>486</v>
      </c>
      <c r="O269" s="10">
        <f t="shared" si="8"/>
        <v>243</v>
      </c>
      <c r="P269" s="14">
        <f t="shared" si="9"/>
        <v>0.45</v>
      </c>
      <c r="Q269" s="7" t="str">
        <f>Raw_Data!M269</f>
        <v>UPI</v>
      </c>
      <c r="R269" s="7" t="str">
        <f>Raw_Data!N269</f>
        <v>No</v>
      </c>
    </row>
    <row r="270" spans="1:18" x14ac:dyDescent="0.25">
      <c r="A270" s="2" t="str">
        <f>Raw_Data!A270</f>
        <v>ORD-0269</v>
      </c>
      <c r="B270" s="3">
        <f>Raw_Data!B270</f>
        <v>45378</v>
      </c>
      <c r="C270" s="2" t="str">
        <f>TEXT(Raw_Data!B270,"MMM")</f>
        <v>Mar</v>
      </c>
      <c r="D270" s="2">
        <f>YEAR(Raw_Data!B270)</f>
        <v>2024</v>
      </c>
      <c r="E270" s="4" t="str">
        <f>Raw_Data!C270</f>
        <v>Swati Agarwal</v>
      </c>
      <c r="F270" s="2" t="str">
        <f>Raw_Data!D270</f>
        <v>Bangalore</v>
      </c>
      <c r="G270" s="4" t="str">
        <f>Raw_Data!E270</f>
        <v>Candid Cream</v>
      </c>
      <c r="H270" s="2" t="str">
        <f>Raw_Data!F270</f>
        <v>Cream</v>
      </c>
      <c r="I270" s="2">
        <f>Raw_Data!G270</f>
        <v>5</v>
      </c>
      <c r="J270" s="5">
        <f>Raw_Data!H270</f>
        <v>65</v>
      </c>
      <c r="K270" s="5">
        <f>Raw_Data!I270</f>
        <v>30.55</v>
      </c>
      <c r="L270" s="5">
        <f>Raw_Data!J270</f>
        <v>325</v>
      </c>
      <c r="M270" s="6">
        <f>Raw_Data!K270</f>
        <v>20</v>
      </c>
      <c r="N270" s="5">
        <f>Raw_Data!L270</f>
        <v>260</v>
      </c>
      <c r="O270" s="5">
        <f t="shared" si="8"/>
        <v>172.25</v>
      </c>
      <c r="P270" s="13">
        <f t="shared" si="9"/>
        <v>0.53</v>
      </c>
      <c r="Q270" s="2" t="str">
        <f>Raw_Data!M270</f>
        <v>UPI</v>
      </c>
      <c r="R270" s="2" t="str">
        <f>Raw_Data!N270</f>
        <v>No</v>
      </c>
    </row>
    <row r="271" spans="1:18" x14ac:dyDescent="0.25">
      <c r="A271" s="7" t="str">
        <f>Raw_Data!A271</f>
        <v>ORD-0270</v>
      </c>
      <c r="B271" s="8">
        <f>Raw_Data!B271</f>
        <v>45322</v>
      </c>
      <c r="C271" s="7" t="str">
        <f>TEXT(Raw_Data!B271,"MMM")</f>
        <v>Jan</v>
      </c>
      <c r="D271" s="7">
        <f>YEAR(Raw_Data!B271)</f>
        <v>2024</v>
      </c>
      <c r="E271" s="9" t="str">
        <f>Raw_Data!C271</f>
        <v>Deepa Patel</v>
      </c>
      <c r="F271" s="7" t="str">
        <f>Raw_Data!D271</f>
        <v>Delhi</v>
      </c>
      <c r="G271" s="9" t="str">
        <f>Raw_Data!E271</f>
        <v>Otrivin Nasal Drops</v>
      </c>
      <c r="H271" s="7" t="str">
        <f>Raw_Data!F271</f>
        <v>Drops</v>
      </c>
      <c r="I271" s="7">
        <f>Raw_Data!G271</f>
        <v>2</v>
      </c>
      <c r="J271" s="10">
        <f>Raw_Data!H271</f>
        <v>95</v>
      </c>
      <c r="K271" s="10">
        <f>Raw_Data!I271</f>
        <v>42.75</v>
      </c>
      <c r="L271" s="10">
        <f>Raw_Data!J271</f>
        <v>190</v>
      </c>
      <c r="M271" s="11">
        <f>Raw_Data!K271</f>
        <v>0</v>
      </c>
      <c r="N271" s="10">
        <f>Raw_Data!L271</f>
        <v>190</v>
      </c>
      <c r="O271" s="10">
        <f t="shared" si="8"/>
        <v>104.5</v>
      </c>
      <c r="P271" s="14">
        <f t="shared" si="9"/>
        <v>0.55000000000000004</v>
      </c>
      <c r="Q271" s="7" t="str">
        <f>Raw_Data!M271</f>
        <v>UPI</v>
      </c>
      <c r="R271" s="7" t="str">
        <f>Raw_Data!N271</f>
        <v>No</v>
      </c>
    </row>
    <row r="272" spans="1:18" x14ac:dyDescent="0.25">
      <c r="A272" s="2" t="str">
        <f>Raw_Data!A272</f>
        <v>ORD-0271</v>
      </c>
      <c r="B272" s="3">
        <f>Raw_Data!B272</f>
        <v>45654</v>
      </c>
      <c r="C272" s="2" t="str">
        <f>TEXT(Raw_Data!B272,"MMM")</f>
        <v>Dec</v>
      </c>
      <c r="D272" s="2">
        <f>YEAR(Raw_Data!B272)</f>
        <v>2024</v>
      </c>
      <c r="E272" s="4" t="str">
        <f>Raw_Data!C272</f>
        <v>Nisha Nair</v>
      </c>
      <c r="F272" s="2" t="str">
        <f>Raw_Data!D272</f>
        <v>Hyderabad</v>
      </c>
      <c r="G272" s="4" t="str">
        <f>Raw_Data!E272</f>
        <v>Benadryl Cough Syrup</v>
      </c>
      <c r="H272" s="2" t="str">
        <f>Raw_Data!F272</f>
        <v>Syrup</v>
      </c>
      <c r="I272" s="2">
        <f>Raw_Data!G272</f>
        <v>17</v>
      </c>
      <c r="J272" s="5">
        <f>Raw_Data!H272</f>
        <v>110</v>
      </c>
      <c r="K272" s="5">
        <f>Raw_Data!I272</f>
        <v>52.8</v>
      </c>
      <c r="L272" s="5">
        <f>Raw_Data!J272</f>
        <v>1870</v>
      </c>
      <c r="M272" s="6">
        <f>Raw_Data!K272</f>
        <v>15</v>
      </c>
      <c r="N272" s="5">
        <f>Raw_Data!L272</f>
        <v>1589.5</v>
      </c>
      <c r="O272" s="5">
        <f t="shared" si="8"/>
        <v>972.40000000000009</v>
      </c>
      <c r="P272" s="13">
        <f t="shared" si="9"/>
        <v>0.52</v>
      </c>
      <c r="Q272" s="2" t="str">
        <f>Raw_Data!M272</f>
        <v>UPI</v>
      </c>
      <c r="R272" s="2" t="str">
        <f>Raw_Data!N272</f>
        <v>No</v>
      </c>
    </row>
    <row r="273" spans="1:18" x14ac:dyDescent="0.25">
      <c r="A273" s="7" t="str">
        <f>Raw_Data!A273</f>
        <v>ORD-0272</v>
      </c>
      <c r="B273" s="8">
        <f>Raw_Data!B273</f>
        <v>45539</v>
      </c>
      <c r="C273" s="7" t="str">
        <f>TEXT(Raw_Data!B273,"MMM")</f>
        <v>Sep</v>
      </c>
      <c r="D273" s="7">
        <f>YEAR(Raw_Data!B273)</f>
        <v>2024</v>
      </c>
      <c r="E273" s="9" t="str">
        <f>Raw_Data!C273</f>
        <v>Manish Tiwari</v>
      </c>
      <c r="F273" s="7" t="str">
        <f>Raw_Data!D273</f>
        <v>Mumbai</v>
      </c>
      <c r="G273" s="9" t="str">
        <f>Raw_Data!E273</f>
        <v>Candid Cream</v>
      </c>
      <c r="H273" s="7" t="str">
        <f>Raw_Data!F273</f>
        <v>Cream</v>
      </c>
      <c r="I273" s="7">
        <f>Raw_Data!G273</f>
        <v>1</v>
      </c>
      <c r="J273" s="10">
        <f>Raw_Data!H273</f>
        <v>65</v>
      </c>
      <c r="K273" s="10">
        <f>Raw_Data!I273</f>
        <v>30.55</v>
      </c>
      <c r="L273" s="10">
        <f>Raw_Data!J273</f>
        <v>65</v>
      </c>
      <c r="M273" s="11">
        <f>Raw_Data!K273</f>
        <v>20</v>
      </c>
      <c r="N273" s="10">
        <f>Raw_Data!L273</f>
        <v>52</v>
      </c>
      <c r="O273" s="10">
        <f t="shared" si="8"/>
        <v>34.450000000000003</v>
      </c>
      <c r="P273" s="14">
        <f t="shared" si="9"/>
        <v>0.53</v>
      </c>
      <c r="Q273" s="7" t="str">
        <f>Raw_Data!M273</f>
        <v>Cash</v>
      </c>
      <c r="R273" s="7" t="str">
        <f>Raw_Data!N273</f>
        <v>No</v>
      </c>
    </row>
    <row r="274" spans="1:18" x14ac:dyDescent="0.25">
      <c r="A274" s="2" t="str">
        <f>Raw_Data!A274</f>
        <v>ORD-0273</v>
      </c>
      <c r="B274" s="3">
        <f>Raw_Data!B274</f>
        <v>45432</v>
      </c>
      <c r="C274" s="2" t="str">
        <f>TEXT(Raw_Data!B274,"MMM")</f>
        <v>May</v>
      </c>
      <c r="D274" s="2">
        <f>YEAR(Raw_Data!B274)</f>
        <v>2024</v>
      </c>
      <c r="E274" s="4" t="str">
        <f>Raw_Data!C274</f>
        <v>Sunita Nair</v>
      </c>
      <c r="F274" s="2" t="str">
        <f>Raw_Data!D274</f>
        <v>Mumbai</v>
      </c>
      <c r="G274" s="4" t="str">
        <f>Raw_Data!E274</f>
        <v>Cipla Eye Drops</v>
      </c>
      <c r="H274" s="2" t="str">
        <f>Raw_Data!F274</f>
        <v>Drops</v>
      </c>
      <c r="I274" s="2">
        <f>Raw_Data!G274</f>
        <v>17</v>
      </c>
      <c r="J274" s="5">
        <f>Raw_Data!H274</f>
        <v>70</v>
      </c>
      <c r="K274" s="5">
        <f>Raw_Data!I274</f>
        <v>31.5</v>
      </c>
      <c r="L274" s="5">
        <f>Raw_Data!J274</f>
        <v>1190</v>
      </c>
      <c r="M274" s="6">
        <f>Raw_Data!K274</f>
        <v>10</v>
      </c>
      <c r="N274" s="5">
        <f>Raw_Data!L274</f>
        <v>1071</v>
      </c>
      <c r="O274" s="5">
        <f t="shared" si="8"/>
        <v>654.5</v>
      </c>
      <c r="P274" s="13">
        <f t="shared" si="9"/>
        <v>0.55000000000000004</v>
      </c>
      <c r="Q274" s="2" t="str">
        <f>Raw_Data!M274</f>
        <v>UPI</v>
      </c>
      <c r="R274" s="2" t="str">
        <f>Raw_Data!N274</f>
        <v>No</v>
      </c>
    </row>
    <row r="275" spans="1:18" x14ac:dyDescent="0.25">
      <c r="A275" s="7" t="str">
        <f>Raw_Data!A275</f>
        <v>ORD-0274</v>
      </c>
      <c r="B275" s="8">
        <f>Raw_Data!B275</f>
        <v>45341</v>
      </c>
      <c r="C275" s="7" t="str">
        <f>TEXT(Raw_Data!B275,"MMM")</f>
        <v>Feb</v>
      </c>
      <c r="D275" s="7">
        <f>YEAR(Raw_Data!B275)</f>
        <v>2024</v>
      </c>
      <c r="E275" s="9" t="str">
        <f>Raw_Data!C275</f>
        <v>Nikhil Patel</v>
      </c>
      <c r="F275" s="7" t="str">
        <f>Raw_Data!D275</f>
        <v>Hyderabad</v>
      </c>
      <c r="G275" s="9" t="str">
        <f>Raw_Data!E275</f>
        <v>Otrivin Nasal Drops</v>
      </c>
      <c r="H275" s="7" t="str">
        <f>Raw_Data!F275</f>
        <v>Drops</v>
      </c>
      <c r="I275" s="7">
        <f>Raw_Data!G275</f>
        <v>7</v>
      </c>
      <c r="J275" s="10">
        <f>Raw_Data!H275</f>
        <v>95</v>
      </c>
      <c r="K275" s="10">
        <f>Raw_Data!I275</f>
        <v>42.75</v>
      </c>
      <c r="L275" s="10">
        <f>Raw_Data!J275</f>
        <v>665</v>
      </c>
      <c r="M275" s="11">
        <f>Raw_Data!K275</f>
        <v>20</v>
      </c>
      <c r="N275" s="10">
        <f>Raw_Data!L275</f>
        <v>532</v>
      </c>
      <c r="O275" s="10">
        <f t="shared" si="8"/>
        <v>365.75</v>
      </c>
      <c r="P275" s="14">
        <f t="shared" si="9"/>
        <v>0.55000000000000004</v>
      </c>
      <c r="Q275" s="7" t="str">
        <f>Raw_Data!M275</f>
        <v>Card</v>
      </c>
      <c r="R275" s="7" t="str">
        <f>Raw_Data!N275</f>
        <v>Yes</v>
      </c>
    </row>
    <row r="276" spans="1:18" x14ac:dyDescent="0.25">
      <c r="A276" s="2" t="str">
        <f>Raw_Data!A276</f>
        <v>ORD-0275</v>
      </c>
      <c r="B276" s="3">
        <f>Raw_Data!B276</f>
        <v>45483</v>
      </c>
      <c r="C276" s="2" t="str">
        <f>TEXT(Raw_Data!B276,"MMM")</f>
        <v>Jul</v>
      </c>
      <c r="D276" s="2">
        <f>YEAR(Raw_Data!B276)</f>
        <v>2024</v>
      </c>
      <c r="E276" s="4" t="str">
        <f>Raw_Data!C276</f>
        <v>Amit Agarwal</v>
      </c>
      <c r="F276" s="2" t="str">
        <f>Raw_Data!D276</f>
        <v>Surat</v>
      </c>
      <c r="G276" s="4" t="str">
        <f>Raw_Data!E276</f>
        <v>Vitamin D3 60K</v>
      </c>
      <c r="H276" s="2" t="str">
        <f>Raw_Data!F276</f>
        <v>Capsule</v>
      </c>
      <c r="I276" s="2">
        <f>Raw_Data!G276</f>
        <v>8</v>
      </c>
      <c r="J276" s="5">
        <f>Raw_Data!H276</f>
        <v>55</v>
      </c>
      <c r="K276" s="5">
        <f>Raw_Data!I276</f>
        <v>27.5</v>
      </c>
      <c r="L276" s="5">
        <f>Raw_Data!J276</f>
        <v>440</v>
      </c>
      <c r="M276" s="6">
        <f>Raw_Data!K276</f>
        <v>5</v>
      </c>
      <c r="N276" s="5">
        <f>Raw_Data!L276</f>
        <v>418</v>
      </c>
      <c r="O276" s="5">
        <f t="shared" si="8"/>
        <v>220</v>
      </c>
      <c r="P276" s="13">
        <f t="shared" si="9"/>
        <v>0.5</v>
      </c>
      <c r="Q276" s="2" t="str">
        <f>Raw_Data!M276</f>
        <v>UPI</v>
      </c>
      <c r="R276" s="2" t="str">
        <f>Raw_Data!N276</f>
        <v>Yes</v>
      </c>
    </row>
    <row r="277" spans="1:18" x14ac:dyDescent="0.25">
      <c r="A277" s="7" t="str">
        <f>Raw_Data!A277</f>
        <v>ORD-0276</v>
      </c>
      <c r="B277" s="8">
        <f>Raw_Data!B277</f>
        <v>45624</v>
      </c>
      <c r="C277" s="7" t="str">
        <f>TEXT(Raw_Data!B277,"MMM")</f>
        <v>Nov</v>
      </c>
      <c r="D277" s="7">
        <f>YEAR(Raw_Data!B277)</f>
        <v>2024</v>
      </c>
      <c r="E277" s="9" t="str">
        <f>Raw_Data!C277</f>
        <v>Rahul Tiwari</v>
      </c>
      <c r="F277" s="7" t="str">
        <f>Raw_Data!D277</f>
        <v>Delhi</v>
      </c>
      <c r="G277" s="9" t="str">
        <f>Raw_Data!E277</f>
        <v>ORS Electrolyte</v>
      </c>
      <c r="H277" s="7" t="str">
        <f>Raw_Data!F277</f>
        <v>Powder</v>
      </c>
      <c r="I277" s="7">
        <f>Raw_Data!G277</f>
        <v>13</v>
      </c>
      <c r="J277" s="10">
        <f>Raw_Data!H277</f>
        <v>30</v>
      </c>
      <c r="K277" s="10">
        <f>Raw_Data!I277</f>
        <v>16.5</v>
      </c>
      <c r="L277" s="10">
        <f>Raw_Data!J277</f>
        <v>390</v>
      </c>
      <c r="M277" s="11">
        <f>Raw_Data!K277</f>
        <v>10</v>
      </c>
      <c r="N277" s="10">
        <f>Raw_Data!L277</f>
        <v>351</v>
      </c>
      <c r="O277" s="10">
        <f t="shared" si="8"/>
        <v>175.5</v>
      </c>
      <c r="P277" s="14">
        <f t="shared" si="9"/>
        <v>0.45</v>
      </c>
      <c r="Q277" s="7" t="str">
        <f>Raw_Data!M277</f>
        <v>Card</v>
      </c>
      <c r="R277" s="7" t="str">
        <f>Raw_Data!N277</f>
        <v>No</v>
      </c>
    </row>
    <row r="278" spans="1:18" x14ac:dyDescent="0.25">
      <c r="A278" s="2" t="str">
        <f>Raw_Data!A278</f>
        <v>ORD-0277</v>
      </c>
      <c r="B278" s="3">
        <f>Raw_Data!B278</f>
        <v>45379</v>
      </c>
      <c r="C278" s="2" t="str">
        <f>TEXT(Raw_Data!B278,"MMM")</f>
        <v>Mar</v>
      </c>
      <c r="D278" s="2">
        <f>YEAR(Raw_Data!B278)</f>
        <v>2024</v>
      </c>
      <c r="E278" s="4" t="str">
        <f>Raw_Data!C278</f>
        <v>Deepa Singh</v>
      </c>
      <c r="F278" s="2" t="str">
        <f>Raw_Data!D278</f>
        <v>Kolkata</v>
      </c>
      <c r="G278" s="4" t="str">
        <f>Raw_Data!E278</f>
        <v>Pantoprazole 40mg</v>
      </c>
      <c r="H278" s="2" t="str">
        <f>Raw_Data!F278</f>
        <v>Tablet</v>
      </c>
      <c r="I278" s="2">
        <f>Raw_Data!G278</f>
        <v>11</v>
      </c>
      <c r="J278" s="5">
        <f>Raw_Data!H278</f>
        <v>75</v>
      </c>
      <c r="K278" s="5">
        <f>Raw_Data!I278</f>
        <v>39</v>
      </c>
      <c r="L278" s="5">
        <f>Raw_Data!J278</f>
        <v>825</v>
      </c>
      <c r="M278" s="6">
        <f>Raw_Data!K278</f>
        <v>0</v>
      </c>
      <c r="N278" s="5">
        <f>Raw_Data!L278</f>
        <v>825</v>
      </c>
      <c r="O278" s="5">
        <f t="shared" si="8"/>
        <v>396</v>
      </c>
      <c r="P278" s="13">
        <f t="shared" si="9"/>
        <v>0.48</v>
      </c>
      <c r="Q278" s="2" t="str">
        <f>Raw_Data!M278</f>
        <v>UPI</v>
      </c>
      <c r="R278" s="2" t="str">
        <f>Raw_Data!N278</f>
        <v>No</v>
      </c>
    </row>
    <row r="279" spans="1:18" x14ac:dyDescent="0.25">
      <c r="A279" s="7" t="str">
        <f>Raw_Data!A279</f>
        <v>ORD-0278</v>
      </c>
      <c r="B279" s="8">
        <f>Raw_Data!B279</f>
        <v>45646</v>
      </c>
      <c r="C279" s="7" t="str">
        <f>TEXT(Raw_Data!B279,"MMM")</f>
        <v>Dec</v>
      </c>
      <c r="D279" s="7">
        <f>YEAR(Raw_Data!B279)</f>
        <v>2024</v>
      </c>
      <c r="E279" s="9" t="str">
        <f>Raw_Data!C279</f>
        <v>Swati Rao</v>
      </c>
      <c r="F279" s="7" t="str">
        <f>Raw_Data!D279</f>
        <v>Chennai</v>
      </c>
      <c r="G279" s="9" t="str">
        <f>Raw_Data!E279</f>
        <v>Cipla Eye Drops</v>
      </c>
      <c r="H279" s="7" t="str">
        <f>Raw_Data!F279</f>
        <v>Drops</v>
      </c>
      <c r="I279" s="7">
        <f>Raw_Data!G279</f>
        <v>2</v>
      </c>
      <c r="J279" s="10">
        <f>Raw_Data!H279</f>
        <v>70</v>
      </c>
      <c r="K279" s="10">
        <f>Raw_Data!I279</f>
        <v>31.5</v>
      </c>
      <c r="L279" s="10">
        <f>Raw_Data!J279</f>
        <v>140</v>
      </c>
      <c r="M279" s="11">
        <f>Raw_Data!K279</f>
        <v>0</v>
      </c>
      <c r="N279" s="10">
        <f>Raw_Data!L279</f>
        <v>140</v>
      </c>
      <c r="O279" s="10">
        <f t="shared" si="8"/>
        <v>77</v>
      </c>
      <c r="P279" s="14">
        <f t="shared" si="9"/>
        <v>0.55000000000000004</v>
      </c>
      <c r="Q279" s="7" t="str">
        <f>Raw_Data!M279</f>
        <v>Cash</v>
      </c>
      <c r="R279" s="7" t="str">
        <f>Raw_Data!N279</f>
        <v>No</v>
      </c>
    </row>
    <row r="280" spans="1:18" x14ac:dyDescent="0.25">
      <c r="A280" s="2" t="str">
        <f>Raw_Data!A280</f>
        <v>ORD-0279</v>
      </c>
      <c r="B280" s="3">
        <f>Raw_Data!B280</f>
        <v>45628</v>
      </c>
      <c r="C280" s="2" t="str">
        <f>TEXT(Raw_Data!B280,"MMM")</f>
        <v>Dec</v>
      </c>
      <c r="D280" s="2">
        <f>YEAR(Raw_Data!B280)</f>
        <v>2024</v>
      </c>
      <c r="E280" s="4" t="str">
        <f>Raw_Data!C280</f>
        <v>Nikhil Nair</v>
      </c>
      <c r="F280" s="2" t="str">
        <f>Raw_Data!D280</f>
        <v>Pune</v>
      </c>
      <c r="G280" s="4" t="str">
        <f>Raw_Data!E280</f>
        <v>Metformin 500mg</v>
      </c>
      <c r="H280" s="2" t="str">
        <f>Raw_Data!F280</f>
        <v>Tablet</v>
      </c>
      <c r="I280" s="2">
        <f>Raw_Data!G280</f>
        <v>1</v>
      </c>
      <c r="J280" s="5">
        <f>Raw_Data!H280</f>
        <v>45</v>
      </c>
      <c r="K280" s="5">
        <f>Raw_Data!I280</f>
        <v>23.4</v>
      </c>
      <c r="L280" s="5">
        <f>Raw_Data!J280</f>
        <v>45</v>
      </c>
      <c r="M280" s="6">
        <f>Raw_Data!K280</f>
        <v>5</v>
      </c>
      <c r="N280" s="5">
        <f>Raw_Data!L280</f>
        <v>42.75</v>
      </c>
      <c r="O280" s="5">
        <f t="shared" si="8"/>
        <v>21.6</v>
      </c>
      <c r="P280" s="13">
        <f t="shared" si="9"/>
        <v>0.48000000000000004</v>
      </c>
      <c r="Q280" s="2" t="str">
        <f>Raw_Data!M280</f>
        <v>UPI</v>
      </c>
      <c r="R280" s="2" t="str">
        <f>Raw_Data!N280</f>
        <v>Yes</v>
      </c>
    </row>
    <row r="281" spans="1:18" x14ac:dyDescent="0.25">
      <c r="A281" s="7" t="str">
        <f>Raw_Data!A281</f>
        <v>ORD-0280</v>
      </c>
      <c r="B281" s="8">
        <f>Raw_Data!B281</f>
        <v>45331</v>
      </c>
      <c r="C281" s="7" t="str">
        <f>TEXT(Raw_Data!B281,"MMM")</f>
        <v>Feb</v>
      </c>
      <c r="D281" s="7">
        <f>YEAR(Raw_Data!B281)</f>
        <v>2024</v>
      </c>
      <c r="E281" s="9" t="str">
        <f>Raw_Data!C281</f>
        <v>Nikhil Dubey</v>
      </c>
      <c r="F281" s="7" t="str">
        <f>Raw_Data!D281</f>
        <v>Surat</v>
      </c>
      <c r="G281" s="9" t="str">
        <f>Raw_Data!E281</f>
        <v>Ondansetron Inj</v>
      </c>
      <c r="H281" s="7" t="str">
        <f>Raw_Data!F281</f>
        <v>Injection</v>
      </c>
      <c r="I281" s="7">
        <f>Raw_Data!G281</f>
        <v>8</v>
      </c>
      <c r="J281" s="10">
        <f>Raw_Data!H281</f>
        <v>120</v>
      </c>
      <c r="K281" s="10">
        <f>Raw_Data!I281</f>
        <v>72</v>
      </c>
      <c r="L281" s="10">
        <f>Raw_Data!J281</f>
        <v>960</v>
      </c>
      <c r="M281" s="11">
        <f>Raw_Data!K281</f>
        <v>10</v>
      </c>
      <c r="N281" s="10">
        <f>Raw_Data!L281</f>
        <v>864</v>
      </c>
      <c r="O281" s="10">
        <f t="shared" si="8"/>
        <v>384</v>
      </c>
      <c r="P281" s="14">
        <f t="shared" si="9"/>
        <v>0.4</v>
      </c>
      <c r="Q281" s="7" t="str">
        <f>Raw_Data!M281</f>
        <v>Card</v>
      </c>
      <c r="R281" s="7" t="str">
        <f>Raw_Data!N281</f>
        <v>Yes</v>
      </c>
    </row>
    <row r="282" spans="1:18" x14ac:dyDescent="0.25">
      <c r="A282" s="2" t="str">
        <f>Raw_Data!A282</f>
        <v>ORD-0281</v>
      </c>
      <c r="B282" s="3">
        <f>Raw_Data!B282</f>
        <v>45363</v>
      </c>
      <c r="C282" s="2" t="str">
        <f>TEXT(Raw_Data!B282,"MMM")</f>
        <v>Mar</v>
      </c>
      <c r="D282" s="2">
        <f>YEAR(Raw_Data!B282)</f>
        <v>2024</v>
      </c>
      <c r="E282" s="4" t="str">
        <f>Raw_Data!C282</f>
        <v>Amit Joshi</v>
      </c>
      <c r="F282" s="2" t="str">
        <f>Raw_Data!D282</f>
        <v>Delhi</v>
      </c>
      <c r="G282" s="4" t="str">
        <f>Raw_Data!E282</f>
        <v>Antifungal Powder</v>
      </c>
      <c r="H282" s="2" t="str">
        <f>Raw_Data!F282</f>
        <v>Powder</v>
      </c>
      <c r="I282" s="2">
        <f>Raw_Data!G282</f>
        <v>17</v>
      </c>
      <c r="J282" s="5">
        <f>Raw_Data!H282</f>
        <v>55</v>
      </c>
      <c r="K282" s="5">
        <f>Raw_Data!I282</f>
        <v>30.25</v>
      </c>
      <c r="L282" s="5">
        <f>Raw_Data!J282</f>
        <v>935</v>
      </c>
      <c r="M282" s="6">
        <f>Raw_Data!K282</f>
        <v>10</v>
      </c>
      <c r="N282" s="5">
        <f>Raw_Data!L282</f>
        <v>841.5</v>
      </c>
      <c r="O282" s="5">
        <f t="shared" si="8"/>
        <v>420.75</v>
      </c>
      <c r="P282" s="13">
        <f t="shared" si="9"/>
        <v>0.45</v>
      </c>
      <c r="Q282" s="2" t="str">
        <f>Raw_Data!M282</f>
        <v>Card</v>
      </c>
      <c r="R282" s="2" t="str">
        <f>Raw_Data!N282</f>
        <v>Yes</v>
      </c>
    </row>
    <row r="283" spans="1:18" x14ac:dyDescent="0.25">
      <c r="A283" s="7" t="str">
        <f>Raw_Data!A283</f>
        <v>ORD-0282</v>
      </c>
      <c r="B283" s="8">
        <f>Raw_Data!B283</f>
        <v>45601</v>
      </c>
      <c r="C283" s="7" t="str">
        <f>TEXT(Raw_Data!B283,"MMM")</f>
        <v>Nov</v>
      </c>
      <c r="D283" s="7">
        <f>YEAR(Raw_Data!B283)</f>
        <v>2024</v>
      </c>
      <c r="E283" s="9" t="str">
        <f>Raw_Data!C283</f>
        <v>Sanjay Shah</v>
      </c>
      <c r="F283" s="7" t="str">
        <f>Raw_Data!D283</f>
        <v>Surat</v>
      </c>
      <c r="G283" s="9" t="str">
        <f>Raw_Data!E283</f>
        <v>Antifungal Powder</v>
      </c>
      <c r="H283" s="7" t="str">
        <f>Raw_Data!F283</f>
        <v>Powder</v>
      </c>
      <c r="I283" s="7">
        <f>Raw_Data!G283</f>
        <v>13</v>
      </c>
      <c r="J283" s="10">
        <f>Raw_Data!H283</f>
        <v>55</v>
      </c>
      <c r="K283" s="10">
        <f>Raw_Data!I283</f>
        <v>30.25</v>
      </c>
      <c r="L283" s="10">
        <f>Raw_Data!J283</f>
        <v>715</v>
      </c>
      <c r="M283" s="11">
        <f>Raw_Data!K283</f>
        <v>10</v>
      </c>
      <c r="N283" s="10">
        <f>Raw_Data!L283</f>
        <v>643.5</v>
      </c>
      <c r="O283" s="10">
        <f t="shared" si="8"/>
        <v>321.75</v>
      </c>
      <c r="P283" s="14">
        <f t="shared" si="9"/>
        <v>0.45</v>
      </c>
      <c r="Q283" s="7" t="str">
        <f>Raw_Data!M283</f>
        <v>Cash</v>
      </c>
      <c r="R283" s="7" t="str">
        <f>Raw_Data!N283</f>
        <v>Yes</v>
      </c>
    </row>
    <row r="284" spans="1:18" x14ac:dyDescent="0.25">
      <c r="A284" s="2" t="str">
        <f>Raw_Data!A284</f>
        <v>ORD-0283</v>
      </c>
      <c r="B284" s="3">
        <f>Raw_Data!B284</f>
        <v>45408</v>
      </c>
      <c r="C284" s="2" t="str">
        <f>TEXT(Raw_Data!B284,"MMM")</f>
        <v>Apr</v>
      </c>
      <c r="D284" s="2">
        <f>YEAR(Raw_Data!B284)</f>
        <v>2024</v>
      </c>
      <c r="E284" s="4" t="str">
        <f>Raw_Data!C284</f>
        <v>Deepa Tiwari</v>
      </c>
      <c r="F284" s="2" t="str">
        <f>Raw_Data!D284</f>
        <v>Kolkata</v>
      </c>
      <c r="G284" s="4" t="str">
        <f>Raw_Data!E284</f>
        <v>Vitamin B12 Inj</v>
      </c>
      <c r="H284" s="2" t="str">
        <f>Raw_Data!F284</f>
        <v>Injection</v>
      </c>
      <c r="I284" s="2">
        <f>Raw_Data!G284</f>
        <v>6</v>
      </c>
      <c r="J284" s="5">
        <f>Raw_Data!H284</f>
        <v>60</v>
      </c>
      <c r="K284" s="5">
        <f>Raw_Data!I284</f>
        <v>36</v>
      </c>
      <c r="L284" s="5">
        <f>Raw_Data!J284</f>
        <v>360</v>
      </c>
      <c r="M284" s="6">
        <f>Raw_Data!K284</f>
        <v>10</v>
      </c>
      <c r="N284" s="5">
        <f>Raw_Data!L284</f>
        <v>324</v>
      </c>
      <c r="O284" s="5">
        <f t="shared" si="8"/>
        <v>144</v>
      </c>
      <c r="P284" s="13">
        <f t="shared" si="9"/>
        <v>0.4</v>
      </c>
      <c r="Q284" s="2" t="str">
        <f>Raw_Data!M284</f>
        <v>UPI</v>
      </c>
      <c r="R284" s="2" t="str">
        <f>Raw_Data!N284</f>
        <v>Yes</v>
      </c>
    </row>
    <row r="285" spans="1:18" x14ac:dyDescent="0.25">
      <c r="A285" s="7" t="str">
        <f>Raw_Data!A285</f>
        <v>ORD-0284</v>
      </c>
      <c r="B285" s="8">
        <f>Raw_Data!B285</f>
        <v>45329</v>
      </c>
      <c r="C285" s="7" t="str">
        <f>TEXT(Raw_Data!B285,"MMM")</f>
        <v>Feb</v>
      </c>
      <c r="D285" s="7">
        <f>YEAR(Raw_Data!B285)</f>
        <v>2024</v>
      </c>
      <c r="E285" s="9" t="str">
        <f>Raw_Data!C285</f>
        <v>Sunita Patel</v>
      </c>
      <c r="F285" s="7" t="str">
        <f>Raw_Data!D285</f>
        <v>Bangalore</v>
      </c>
      <c r="G285" s="9" t="str">
        <f>Raw_Data!E285</f>
        <v>Cetirizine 10mg</v>
      </c>
      <c r="H285" s="7" t="str">
        <f>Raw_Data!F285</f>
        <v>Tablet</v>
      </c>
      <c r="I285" s="7">
        <f>Raw_Data!G285</f>
        <v>13</v>
      </c>
      <c r="J285" s="10">
        <f>Raw_Data!H285</f>
        <v>35</v>
      </c>
      <c r="K285" s="10">
        <f>Raw_Data!I285</f>
        <v>18.2</v>
      </c>
      <c r="L285" s="10">
        <f>Raw_Data!J285</f>
        <v>455</v>
      </c>
      <c r="M285" s="11">
        <f>Raw_Data!K285</f>
        <v>0</v>
      </c>
      <c r="N285" s="10">
        <f>Raw_Data!L285</f>
        <v>455</v>
      </c>
      <c r="O285" s="10">
        <f t="shared" si="8"/>
        <v>218.4</v>
      </c>
      <c r="P285" s="14">
        <f t="shared" si="9"/>
        <v>0.48000000000000004</v>
      </c>
      <c r="Q285" s="7" t="str">
        <f>Raw_Data!M285</f>
        <v>Card</v>
      </c>
      <c r="R285" s="7" t="str">
        <f>Raw_Data!N285</f>
        <v>No</v>
      </c>
    </row>
    <row r="286" spans="1:18" x14ac:dyDescent="0.25">
      <c r="A286" s="2" t="str">
        <f>Raw_Data!A286</f>
        <v>ORD-0285</v>
      </c>
      <c r="B286" s="3">
        <f>Raw_Data!B286</f>
        <v>45294</v>
      </c>
      <c r="C286" s="2" t="str">
        <f>TEXT(Raw_Data!B286,"MMM")</f>
        <v>Jan</v>
      </c>
      <c r="D286" s="2">
        <f>YEAR(Raw_Data!B286)</f>
        <v>2024</v>
      </c>
      <c r="E286" s="4" t="str">
        <f>Raw_Data!C286</f>
        <v>Sanjay Verma</v>
      </c>
      <c r="F286" s="2" t="str">
        <f>Raw_Data!D286</f>
        <v>Pune</v>
      </c>
      <c r="G286" s="4" t="str">
        <f>Raw_Data!E286</f>
        <v>Vitamin B12 Inj</v>
      </c>
      <c r="H286" s="2" t="str">
        <f>Raw_Data!F286</f>
        <v>Injection</v>
      </c>
      <c r="I286" s="2">
        <f>Raw_Data!G286</f>
        <v>9</v>
      </c>
      <c r="J286" s="5">
        <f>Raw_Data!H286</f>
        <v>60</v>
      </c>
      <c r="K286" s="5">
        <f>Raw_Data!I286</f>
        <v>36</v>
      </c>
      <c r="L286" s="5">
        <f>Raw_Data!J286</f>
        <v>540</v>
      </c>
      <c r="M286" s="6">
        <f>Raw_Data!K286</f>
        <v>0</v>
      </c>
      <c r="N286" s="5">
        <f>Raw_Data!L286</f>
        <v>540</v>
      </c>
      <c r="O286" s="5">
        <f t="shared" si="8"/>
        <v>216</v>
      </c>
      <c r="P286" s="13">
        <f t="shared" si="9"/>
        <v>0.4</v>
      </c>
      <c r="Q286" s="2" t="str">
        <f>Raw_Data!M286</f>
        <v>Cash</v>
      </c>
      <c r="R286" s="2" t="str">
        <f>Raw_Data!N286</f>
        <v>Yes</v>
      </c>
    </row>
    <row r="287" spans="1:18" x14ac:dyDescent="0.25">
      <c r="A287" s="7" t="str">
        <f>Raw_Data!A287</f>
        <v>ORD-0286</v>
      </c>
      <c r="B287" s="8">
        <f>Raw_Data!B287</f>
        <v>45576</v>
      </c>
      <c r="C287" s="7" t="str">
        <f>TEXT(Raw_Data!B287,"MMM")</f>
        <v>Oct</v>
      </c>
      <c r="D287" s="7">
        <f>YEAR(Raw_Data!B287)</f>
        <v>2024</v>
      </c>
      <c r="E287" s="9" t="str">
        <f>Raw_Data!C287</f>
        <v>Nisha Dubey</v>
      </c>
      <c r="F287" s="7" t="str">
        <f>Raw_Data!D287</f>
        <v>Delhi</v>
      </c>
      <c r="G287" s="9" t="str">
        <f>Raw_Data!E287</f>
        <v>Cipla Eye Drops</v>
      </c>
      <c r="H287" s="7" t="str">
        <f>Raw_Data!F287</f>
        <v>Drops</v>
      </c>
      <c r="I287" s="7">
        <f>Raw_Data!G287</f>
        <v>1</v>
      </c>
      <c r="J287" s="10">
        <f>Raw_Data!H287</f>
        <v>70</v>
      </c>
      <c r="K287" s="10">
        <f>Raw_Data!I287</f>
        <v>31.5</v>
      </c>
      <c r="L287" s="10">
        <f>Raw_Data!J287</f>
        <v>70</v>
      </c>
      <c r="M287" s="11">
        <f>Raw_Data!K287</f>
        <v>0</v>
      </c>
      <c r="N287" s="10">
        <f>Raw_Data!L287</f>
        <v>70</v>
      </c>
      <c r="O287" s="10">
        <f t="shared" si="8"/>
        <v>38.5</v>
      </c>
      <c r="P287" s="14">
        <f t="shared" si="9"/>
        <v>0.55000000000000004</v>
      </c>
      <c r="Q287" s="7" t="str">
        <f>Raw_Data!M287</f>
        <v>Cash</v>
      </c>
      <c r="R287" s="7" t="str">
        <f>Raw_Data!N287</f>
        <v>Yes</v>
      </c>
    </row>
    <row r="288" spans="1:18" x14ac:dyDescent="0.25">
      <c r="A288" s="2" t="str">
        <f>Raw_Data!A288</f>
        <v>ORD-0287</v>
      </c>
      <c r="B288" s="3">
        <f>Raw_Data!B288</f>
        <v>45458</v>
      </c>
      <c r="C288" s="2" t="str">
        <f>TEXT(Raw_Data!B288,"MMM")</f>
        <v>Jun</v>
      </c>
      <c r="D288" s="2">
        <f>YEAR(Raw_Data!B288)</f>
        <v>2024</v>
      </c>
      <c r="E288" s="4" t="str">
        <f>Raw_Data!C288</f>
        <v>Swati Nair</v>
      </c>
      <c r="F288" s="2" t="str">
        <f>Raw_Data!D288</f>
        <v>Mumbai</v>
      </c>
      <c r="G288" s="4" t="str">
        <f>Raw_Data!E288</f>
        <v>Protein Supplement</v>
      </c>
      <c r="H288" s="2" t="str">
        <f>Raw_Data!F288</f>
        <v>Powder</v>
      </c>
      <c r="I288" s="2">
        <f>Raw_Data!G288</f>
        <v>10</v>
      </c>
      <c r="J288" s="5">
        <f>Raw_Data!H288</f>
        <v>450</v>
      </c>
      <c r="K288" s="5">
        <f>Raw_Data!I288</f>
        <v>247.5</v>
      </c>
      <c r="L288" s="5">
        <f>Raw_Data!J288</f>
        <v>4500</v>
      </c>
      <c r="M288" s="6">
        <f>Raw_Data!K288</f>
        <v>10</v>
      </c>
      <c r="N288" s="5">
        <f>Raw_Data!L288</f>
        <v>4050</v>
      </c>
      <c r="O288" s="5">
        <f t="shared" si="8"/>
        <v>2025</v>
      </c>
      <c r="P288" s="13">
        <f t="shared" si="9"/>
        <v>0.45</v>
      </c>
      <c r="Q288" s="2" t="str">
        <f>Raw_Data!M288</f>
        <v>Cash</v>
      </c>
      <c r="R288" s="2" t="str">
        <f>Raw_Data!N288</f>
        <v>No</v>
      </c>
    </row>
    <row r="289" spans="1:18" x14ac:dyDescent="0.25">
      <c r="A289" s="7" t="str">
        <f>Raw_Data!A289</f>
        <v>ORD-0288</v>
      </c>
      <c r="B289" s="8">
        <f>Raw_Data!B289</f>
        <v>45416</v>
      </c>
      <c r="C289" s="7" t="str">
        <f>TEXT(Raw_Data!B289,"MMM")</f>
        <v>May</v>
      </c>
      <c r="D289" s="7">
        <f>YEAR(Raw_Data!B289)</f>
        <v>2024</v>
      </c>
      <c r="E289" s="9" t="str">
        <f>Raw_Data!C289</f>
        <v>Rekha Gupta</v>
      </c>
      <c r="F289" s="7" t="str">
        <f>Raw_Data!D289</f>
        <v>Bangalore</v>
      </c>
      <c r="G289" s="9" t="str">
        <f>Raw_Data!E289</f>
        <v>Refresh Tears</v>
      </c>
      <c r="H289" s="7" t="str">
        <f>Raw_Data!F289</f>
        <v>Drops</v>
      </c>
      <c r="I289" s="7">
        <f>Raw_Data!G289</f>
        <v>13</v>
      </c>
      <c r="J289" s="10">
        <f>Raw_Data!H289</f>
        <v>110</v>
      </c>
      <c r="K289" s="10">
        <f>Raw_Data!I289</f>
        <v>49.5</v>
      </c>
      <c r="L289" s="10">
        <f>Raw_Data!J289</f>
        <v>1430</v>
      </c>
      <c r="M289" s="11">
        <f>Raw_Data!K289</f>
        <v>0</v>
      </c>
      <c r="N289" s="10">
        <f>Raw_Data!L289</f>
        <v>1430</v>
      </c>
      <c r="O289" s="10">
        <f t="shared" si="8"/>
        <v>786.5</v>
      </c>
      <c r="P289" s="14">
        <f t="shared" si="9"/>
        <v>0.55000000000000004</v>
      </c>
      <c r="Q289" s="7" t="str">
        <f>Raw_Data!M289</f>
        <v>Card</v>
      </c>
      <c r="R289" s="7" t="str">
        <f>Raw_Data!N289</f>
        <v>Yes</v>
      </c>
    </row>
    <row r="290" spans="1:18" x14ac:dyDescent="0.25">
      <c r="A290" s="2" t="str">
        <f>Raw_Data!A290</f>
        <v>ORD-0289</v>
      </c>
      <c r="B290" s="3">
        <f>Raw_Data!B290</f>
        <v>45324</v>
      </c>
      <c r="C290" s="2" t="str">
        <f>TEXT(Raw_Data!B290,"MMM")</f>
        <v>Feb</v>
      </c>
      <c r="D290" s="2">
        <f>YEAR(Raw_Data!B290)</f>
        <v>2024</v>
      </c>
      <c r="E290" s="4" t="str">
        <f>Raw_Data!C290</f>
        <v>Suresh Singh</v>
      </c>
      <c r="F290" s="2" t="str">
        <f>Raw_Data!D290</f>
        <v>Chennai</v>
      </c>
      <c r="G290" s="4" t="str">
        <f>Raw_Data!E290</f>
        <v>Cetirizine Syrup</v>
      </c>
      <c r="H290" s="2" t="str">
        <f>Raw_Data!F290</f>
        <v>Syrup</v>
      </c>
      <c r="I290" s="2">
        <f>Raw_Data!G290</f>
        <v>14</v>
      </c>
      <c r="J290" s="5">
        <f>Raw_Data!H290</f>
        <v>55</v>
      </c>
      <c r="K290" s="5">
        <f>Raw_Data!I290</f>
        <v>26.4</v>
      </c>
      <c r="L290" s="5">
        <f>Raw_Data!J290</f>
        <v>770</v>
      </c>
      <c r="M290" s="6">
        <f>Raw_Data!K290</f>
        <v>5</v>
      </c>
      <c r="N290" s="5">
        <f>Raw_Data!L290</f>
        <v>731.5</v>
      </c>
      <c r="O290" s="5">
        <f t="shared" si="8"/>
        <v>400.40000000000003</v>
      </c>
      <c r="P290" s="13">
        <f t="shared" si="9"/>
        <v>0.52</v>
      </c>
      <c r="Q290" s="2" t="str">
        <f>Raw_Data!M290</f>
        <v>Cash</v>
      </c>
      <c r="R290" s="2" t="str">
        <f>Raw_Data!N290</f>
        <v>No</v>
      </c>
    </row>
    <row r="291" spans="1:18" x14ac:dyDescent="0.25">
      <c r="A291" s="7" t="str">
        <f>Raw_Data!A291</f>
        <v>ORD-0290</v>
      </c>
      <c r="B291" s="8">
        <f>Raw_Data!B291</f>
        <v>45612</v>
      </c>
      <c r="C291" s="7" t="str">
        <f>TEXT(Raw_Data!B291,"MMM")</f>
        <v>Nov</v>
      </c>
      <c r="D291" s="7">
        <f>YEAR(Raw_Data!B291)</f>
        <v>2024</v>
      </c>
      <c r="E291" s="9" t="str">
        <f>Raw_Data!C291</f>
        <v>Arjun Mishra</v>
      </c>
      <c r="F291" s="7" t="str">
        <f>Raw_Data!D291</f>
        <v>Ahmedabad</v>
      </c>
      <c r="G291" s="9" t="str">
        <f>Raw_Data!E291</f>
        <v>Doxycycline 100mg</v>
      </c>
      <c r="H291" s="7" t="str">
        <f>Raw_Data!F291</f>
        <v>Capsule</v>
      </c>
      <c r="I291" s="7">
        <f>Raw_Data!G291</f>
        <v>4</v>
      </c>
      <c r="J291" s="10">
        <f>Raw_Data!H291</f>
        <v>90</v>
      </c>
      <c r="K291" s="10">
        <f>Raw_Data!I291</f>
        <v>45</v>
      </c>
      <c r="L291" s="10">
        <f>Raw_Data!J291</f>
        <v>360</v>
      </c>
      <c r="M291" s="11">
        <f>Raw_Data!K291</f>
        <v>0</v>
      </c>
      <c r="N291" s="10">
        <f>Raw_Data!L291</f>
        <v>360</v>
      </c>
      <c r="O291" s="10">
        <f t="shared" si="8"/>
        <v>180</v>
      </c>
      <c r="P291" s="14">
        <f t="shared" si="9"/>
        <v>0.5</v>
      </c>
      <c r="Q291" s="7" t="str">
        <f>Raw_Data!M291</f>
        <v>UPI</v>
      </c>
      <c r="R291" s="7" t="str">
        <f>Raw_Data!N291</f>
        <v>Yes</v>
      </c>
    </row>
    <row r="292" spans="1:18" x14ac:dyDescent="0.25">
      <c r="A292" s="2" t="str">
        <f>Raw_Data!A292</f>
        <v>ORD-0291</v>
      </c>
      <c r="B292" s="3">
        <f>Raw_Data!B292</f>
        <v>45609</v>
      </c>
      <c r="C292" s="2" t="str">
        <f>TEXT(Raw_Data!B292,"MMM")</f>
        <v>Nov</v>
      </c>
      <c r="D292" s="2">
        <f>YEAR(Raw_Data!B292)</f>
        <v>2024</v>
      </c>
      <c r="E292" s="4" t="str">
        <f>Raw_Data!C292</f>
        <v>Nisha Gupta</v>
      </c>
      <c r="F292" s="2" t="str">
        <f>Raw_Data!D292</f>
        <v>Ahmedabad</v>
      </c>
      <c r="G292" s="4" t="str">
        <f>Raw_Data!E292</f>
        <v>Fluconazole 150mg</v>
      </c>
      <c r="H292" s="2" t="str">
        <f>Raw_Data!F292</f>
        <v>Capsule</v>
      </c>
      <c r="I292" s="2">
        <f>Raw_Data!G292</f>
        <v>11</v>
      </c>
      <c r="J292" s="5">
        <f>Raw_Data!H292</f>
        <v>75</v>
      </c>
      <c r="K292" s="5">
        <f>Raw_Data!I292</f>
        <v>37.5</v>
      </c>
      <c r="L292" s="5">
        <f>Raw_Data!J292</f>
        <v>825</v>
      </c>
      <c r="M292" s="6">
        <f>Raw_Data!K292</f>
        <v>10</v>
      </c>
      <c r="N292" s="5">
        <f>Raw_Data!L292</f>
        <v>742.5</v>
      </c>
      <c r="O292" s="5">
        <f t="shared" si="8"/>
        <v>412.5</v>
      </c>
      <c r="P292" s="13">
        <f t="shared" si="9"/>
        <v>0.5</v>
      </c>
      <c r="Q292" s="2" t="str">
        <f>Raw_Data!M292</f>
        <v>UPI</v>
      </c>
      <c r="R292" s="2" t="str">
        <f>Raw_Data!N292</f>
        <v>No</v>
      </c>
    </row>
    <row r="293" spans="1:18" x14ac:dyDescent="0.25">
      <c r="A293" s="7" t="str">
        <f>Raw_Data!A293</f>
        <v>ORD-0292</v>
      </c>
      <c r="B293" s="8">
        <f>Raw_Data!B293</f>
        <v>45445</v>
      </c>
      <c r="C293" s="7" t="str">
        <f>TEXT(Raw_Data!B293,"MMM")</f>
        <v>Jun</v>
      </c>
      <c r="D293" s="7">
        <f>YEAR(Raw_Data!B293)</f>
        <v>2024</v>
      </c>
      <c r="E293" s="9" t="str">
        <f>Raw_Data!C293</f>
        <v>Kavita Tiwari</v>
      </c>
      <c r="F293" s="7" t="str">
        <f>Raw_Data!D293</f>
        <v>Ahmedabad</v>
      </c>
      <c r="G293" s="9" t="str">
        <f>Raw_Data!E293</f>
        <v>Ondansetron Inj</v>
      </c>
      <c r="H293" s="7" t="str">
        <f>Raw_Data!F293</f>
        <v>Injection</v>
      </c>
      <c r="I293" s="7">
        <f>Raw_Data!G293</f>
        <v>11</v>
      </c>
      <c r="J293" s="10">
        <f>Raw_Data!H293</f>
        <v>120</v>
      </c>
      <c r="K293" s="10">
        <f>Raw_Data!I293</f>
        <v>72</v>
      </c>
      <c r="L293" s="10">
        <f>Raw_Data!J293</f>
        <v>1320</v>
      </c>
      <c r="M293" s="11">
        <f>Raw_Data!K293</f>
        <v>0</v>
      </c>
      <c r="N293" s="10">
        <f>Raw_Data!L293</f>
        <v>1320</v>
      </c>
      <c r="O293" s="10">
        <f t="shared" si="8"/>
        <v>528</v>
      </c>
      <c r="P293" s="14">
        <f t="shared" si="9"/>
        <v>0.4</v>
      </c>
      <c r="Q293" s="7" t="str">
        <f>Raw_Data!M293</f>
        <v>UPI</v>
      </c>
      <c r="R293" s="7" t="str">
        <f>Raw_Data!N293</f>
        <v>No</v>
      </c>
    </row>
    <row r="294" spans="1:18" x14ac:dyDescent="0.25">
      <c r="A294" s="2" t="str">
        <f>Raw_Data!A294</f>
        <v>ORD-0293</v>
      </c>
      <c r="B294" s="3">
        <f>Raw_Data!B294</f>
        <v>45647</v>
      </c>
      <c r="C294" s="2" t="str">
        <f>TEXT(Raw_Data!B294,"MMM")</f>
        <v>Dec</v>
      </c>
      <c r="D294" s="2">
        <f>YEAR(Raw_Data!B294)</f>
        <v>2024</v>
      </c>
      <c r="E294" s="4" t="str">
        <f>Raw_Data!C294</f>
        <v>Nikhil Joshi</v>
      </c>
      <c r="F294" s="2" t="str">
        <f>Raw_Data!D294</f>
        <v>Surat</v>
      </c>
      <c r="G294" s="4" t="str">
        <f>Raw_Data!E294</f>
        <v>Candid Cream</v>
      </c>
      <c r="H294" s="2" t="str">
        <f>Raw_Data!F294</f>
        <v>Cream</v>
      </c>
      <c r="I294" s="2">
        <f>Raw_Data!G294</f>
        <v>8</v>
      </c>
      <c r="J294" s="5">
        <f>Raw_Data!H294</f>
        <v>65</v>
      </c>
      <c r="K294" s="5">
        <f>Raw_Data!I294</f>
        <v>30.55</v>
      </c>
      <c r="L294" s="5">
        <f>Raw_Data!J294</f>
        <v>520</v>
      </c>
      <c r="M294" s="6">
        <f>Raw_Data!K294</f>
        <v>10</v>
      </c>
      <c r="N294" s="5">
        <f>Raw_Data!L294</f>
        <v>468</v>
      </c>
      <c r="O294" s="5">
        <f t="shared" si="8"/>
        <v>275.60000000000002</v>
      </c>
      <c r="P294" s="13">
        <f t="shared" si="9"/>
        <v>0.53</v>
      </c>
      <c r="Q294" s="2" t="str">
        <f>Raw_Data!M294</f>
        <v>UPI</v>
      </c>
      <c r="R294" s="2" t="str">
        <f>Raw_Data!N294</f>
        <v>No</v>
      </c>
    </row>
    <row r="295" spans="1:18" x14ac:dyDescent="0.25">
      <c r="A295" s="7" t="str">
        <f>Raw_Data!A295</f>
        <v>ORD-0294</v>
      </c>
      <c r="B295" s="8">
        <f>Raw_Data!B295</f>
        <v>45350</v>
      </c>
      <c r="C295" s="7" t="str">
        <f>TEXT(Raw_Data!B295,"MMM")</f>
        <v>Feb</v>
      </c>
      <c r="D295" s="7">
        <f>YEAR(Raw_Data!B295)</f>
        <v>2024</v>
      </c>
      <c r="E295" s="9" t="str">
        <f>Raw_Data!C295</f>
        <v>Sanjay Tiwari</v>
      </c>
      <c r="F295" s="7" t="str">
        <f>Raw_Data!D295</f>
        <v>Surat</v>
      </c>
      <c r="G295" s="9" t="str">
        <f>Raw_Data!E295</f>
        <v>Otrivin Nasal Drops</v>
      </c>
      <c r="H295" s="7" t="str">
        <f>Raw_Data!F295</f>
        <v>Drops</v>
      </c>
      <c r="I295" s="7">
        <f>Raw_Data!G295</f>
        <v>18</v>
      </c>
      <c r="J295" s="10">
        <f>Raw_Data!H295</f>
        <v>95</v>
      </c>
      <c r="K295" s="10">
        <f>Raw_Data!I295</f>
        <v>42.75</v>
      </c>
      <c r="L295" s="10">
        <f>Raw_Data!J295</f>
        <v>1710</v>
      </c>
      <c r="M295" s="11">
        <f>Raw_Data!K295</f>
        <v>0</v>
      </c>
      <c r="N295" s="10">
        <f>Raw_Data!L295</f>
        <v>1710</v>
      </c>
      <c r="O295" s="10">
        <f t="shared" si="8"/>
        <v>940.5</v>
      </c>
      <c r="P295" s="14">
        <f t="shared" si="9"/>
        <v>0.55000000000000004</v>
      </c>
      <c r="Q295" s="7" t="str">
        <f>Raw_Data!M295</f>
        <v>Card</v>
      </c>
      <c r="R295" s="7" t="str">
        <f>Raw_Data!N295</f>
        <v>No</v>
      </c>
    </row>
    <row r="296" spans="1:18" x14ac:dyDescent="0.25">
      <c r="A296" s="2" t="str">
        <f>Raw_Data!A296</f>
        <v>ORD-0295</v>
      </c>
      <c r="B296" s="3">
        <f>Raw_Data!B296</f>
        <v>45399</v>
      </c>
      <c r="C296" s="2" t="str">
        <f>TEXT(Raw_Data!B296,"MMM")</f>
        <v>Apr</v>
      </c>
      <c r="D296" s="2">
        <f>YEAR(Raw_Data!B296)</f>
        <v>2024</v>
      </c>
      <c r="E296" s="4" t="str">
        <f>Raw_Data!C296</f>
        <v>Suresh Agarwal</v>
      </c>
      <c r="F296" s="2" t="str">
        <f>Raw_Data!D296</f>
        <v>Delhi</v>
      </c>
      <c r="G296" s="4" t="str">
        <f>Raw_Data!E296</f>
        <v>Fluconazole 150mg</v>
      </c>
      <c r="H296" s="2" t="str">
        <f>Raw_Data!F296</f>
        <v>Capsule</v>
      </c>
      <c r="I296" s="2">
        <f>Raw_Data!G296</f>
        <v>14</v>
      </c>
      <c r="J296" s="5">
        <f>Raw_Data!H296</f>
        <v>75</v>
      </c>
      <c r="K296" s="5">
        <f>Raw_Data!I296</f>
        <v>37.5</v>
      </c>
      <c r="L296" s="5">
        <f>Raw_Data!J296</f>
        <v>1050</v>
      </c>
      <c r="M296" s="6">
        <f>Raw_Data!K296</f>
        <v>15</v>
      </c>
      <c r="N296" s="5">
        <f>Raw_Data!L296</f>
        <v>892.5</v>
      </c>
      <c r="O296" s="5">
        <f t="shared" si="8"/>
        <v>525</v>
      </c>
      <c r="P296" s="13">
        <f t="shared" si="9"/>
        <v>0.5</v>
      </c>
      <c r="Q296" s="2" t="str">
        <f>Raw_Data!M296</f>
        <v>Card</v>
      </c>
      <c r="R296" s="2" t="str">
        <f>Raw_Data!N296</f>
        <v>Yes</v>
      </c>
    </row>
    <row r="297" spans="1:18" x14ac:dyDescent="0.25">
      <c r="A297" s="7" t="str">
        <f>Raw_Data!A297</f>
        <v>ORD-0296</v>
      </c>
      <c r="B297" s="8">
        <f>Raw_Data!B297</f>
        <v>45370</v>
      </c>
      <c r="C297" s="7" t="str">
        <f>TEXT(Raw_Data!B297,"MMM")</f>
        <v>Mar</v>
      </c>
      <c r="D297" s="7">
        <f>YEAR(Raw_Data!B297)</f>
        <v>2024</v>
      </c>
      <c r="E297" s="9" t="str">
        <f>Raw_Data!C297</f>
        <v>Nikhil Verma</v>
      </c>
      <c r="F297" s="7" t="str">
        <f>Raw_Data!D297</f>
        <v>Kolkata</v>
      </c>
      <c r="G297" s="9" t="str">
        <f>Raw_Data!E297</f>
        <v>Candid Cream</v>
      </c>
      <c r="H297" s="7" t="str">
        <f>Raw_Data!F297</f>
        <v>Cream</v>
      </c>
      <c r="I297" s="7">
        <f>Raw_Data!G297</f>
        <v>3</v>
      </c>
      <c r="J297" s="10">
        <f>Raw_Data!H297</f>
        <v>65</v>
      </c>
      <c r="K297" s="10">
        <f>Raw_Data!I297</f>
        <v>30.55</v>
      </c>
      <c r="L297" s="10">
        <f>Raw_Data!J297</f>
        <v>195</v>
      </c>
      <c r="M297" s="11">
        <f>Raw_Data!K297</f>
        <v>15</v>
      </c>
      <c r="N297" s="10">
        <f>Raw_Data!L297</f>
        <v>165.75</v>
      </c>
      <c r="O297" s="10">
        <f t="shared" si="8"/>
        <v>103.35</v>
      </c>
      <c r="P297" s="14">
        <f t="shared" si="9"/>
        <v>0.52999999999999992</v>
      </c>
      <c r="Q297" s="7" t="str">
        <f>Raw_Data!M297</f>
        <v>Card</v>
      </c>
      <c r="R297" s="7" t="str">
        <f>Raw_Data!N297</f>
        <v>No</v>
      </c>
    </row>
    <row r="298" spans="1:18" x14ac:dyDescent="0.25">
      <c r="A298" s="2" t="str">
        <f>Raw_Data!A298</f>
        <v>ORD-0297</v>
      </c>
      <c r="B298" s="3">
        <f>Raw_Data!B298</f>
        <v>45551</v>
      </c>
      <c r="C298" s="2" t="str">
        <f>TEXT(Raw_Data!B298,"MMM")</f>
        <v>Sep</v>
      </c>
      <c r="D298" s="2">
        <f>YEAR(Raw_Data!B298)</f>
        <v>2024</v>
      </c>
      <c r="E298" s="4" t="str">
        <f>Raw_Data!C298</f>
        <v>Swati Rao</v>
      </c>
      <c r="F298" s="2" t="str">
        <f>Raw_Data!D298</f>
        <v>Kolkata</v>
      </c>
      <c r="G298" s="4" t="str">
        <f>Raw_Data!E298</f>
        <v>Antifungal Powder</v>
      </c>
      <c r="H298" s="2" t="str">
        <f>Raw_Data!F298</f>
        <v>Powder</v>
      </c>
      <c r="I298" s="2">
        <f>Raw_Data!G298</f>
        <v>18</v>
      </c>
      <c r="J298" s="5">
        <f>Raw_Data!H298</f>
        <v>55</v>
      </c>
      <c r="K298" s="5">
        <f>Raw_Data!I298</f>
        <v>30.25</v>
      </c>
      <c r="L298" s="5">
        <f>Raw_Data!J298</f>
        <v>990</v>
      </c>
      <c r="M298" s="6">
        <f>Raw_Data!K298</f>
        <v>0</v>
      </c>
      <c r="N298" s="5">
        <f>Raw_Data!L298</f>
        <v>990</v>
      </c>
      <c r="O298" s="5">
        <f t="shared" si="8"/>
        <v>445.5</v>
      </c>
      <c r="P298" s="13">
        <f t="shared" si="9"/>
        <v>0.45</v>
      </c>
      <c r="Q298" s="2" t="str">
        <f>Raw_Data!M298</f>
        <v>Card</v>
      </c>
      <c r="R298" s="2" t="str">
        <f>Raw_Data!N298</f>
        <v>No</v>
      </c>
    </row>
    <row r="299" spans="1:18" x14ac:dyDescent="0.25">
      <c r="A299" s="7" t="str">
        <f>Raw_Data!A299</f>
        <v>ORD-0298</v>
      </c>
      <c r="B299" s="8">
        <f>Raw_Data!B299</f>
        <v>45618</v>
      </c>
      <c r="C299" s="7" t="str">
        <f>TEXT(Raw_Data!B299,"MMM")</f>
        <v>Nov</v>
      </c>
      <c r="D299" s="7">
        <f>YEAR(Raw_Data!B299)</f>
        <v>2024</v>
      </c>
      <c r="E299" s="9" t="str">
        <f>Raw_Data!C299</f>
        <v>Nikhil Dubey</v>
      </c>
      <c r="F299" s="7" t="str">
        <f>Raw_Data!D299</f>
        <v>Hyderabad</v>
      </c>
      <c r="G299" s="9" t="str">
        <f>Raw_Data!E299</f>
        <v>Amoxicillin 250mg</v>
      </c>
      <c r="H299" s="7" t="str">
        <f>Raw_Data!F299</f>
        <v>Tablet</v>
      </c>
      <c r="I299" s="7">
        <f>Raw_Data!G299</f>
        <v>12</v>
      </c>
      <c r="J299" s="10">
        <f>Raw_Data!H299</f>
        <v>85</v>
      </c>
      <c r="K299" s="10">
        <f>Raw_Data!I299</f>
        <v>44.2</v>
      </c>
      <c r="L299" s="10">
        <f>Raw_Data!J299</f>
        <v>1020</v>
      </c>
      <c r="M299" s="11">
        <f>Raw_Data!K299</f>
        <v>0</v>
      </c>
      <c r="N299" s="10">
        <f>Raw_Data!L299</f>
        <v>1020</v>
      </c>
      <c r="O299" s="10">
        <f t="shared" si="8"/>
        <v>489.59999999999991</v>
      </c>
      <c r="P299" s="14">
        <f t="shared" si="9"/>
        <v>0.47999999999999993</v>
      </c>
      <c r="Q299" s="7" t="str">
        <f>Raw_Data!M299</f>
        <v>Cash</v>
      </c>
      <c r="R299" s="7" t="str">
        <f>Raw_Data!N299</f>
        <v>Yes</v>
      </c>
    </row>
    <row r="300" spans="1:18" x14ac:dyDescent="0.25">
      <c r="A300" s="2" t="str">
        <f>Raw_Data!A300</f>
        <v>ORD-0299</v>
      </c>
      <c r="B300" s="3">
        <f>Raw_Data!B300</f>
        <v>45461</v>
      </c>
      <c r="C300" s="2" t="str">
        <f>TEXT(Raw_Data!B300,"MMM")</f>
        <v>Jun</v>
      </c>
      <c r="D300" s="2">
        <f>YEAR(Raw_Data!B300)</f>
        <v>2024</v>
      </c>
      <c r="E300" s="4" t="str">
        <f>Raw_Data!C300</f>
        <v>Manish Verma</v>
      </c>
      <c r="F300" s="2" t="str">
        <f>Raw_Data!D300</f>
        <v>Delhi</v>
      </c>
      <c r="G300" s="4" t="str">
        <f>Raw_Data!E300</f>
        <v>Protein Supplement</v>
      </c>
      <c r="H300" s="2" t="str">
        <f>Raw_Data!F300</f>
        <v>Powder</v>
      </c>
      <c r="I300" s="2">
        <f>Raw_Data!G300</f>
        <v>1</v>
      </c>
      <c r="J300" s="5">
        <f>Raw_Data!H300</f>
        <v>450</v>
      </c>
      <c r="K300" s="5">
        <f>Raw_Data!I300</f>
        <v>247.5</v>
      </c>
      <c r="L300" s="5">
        <f>Raw_Data!J300</f>
        <v>450</v>
      </c>
      <c r="M300" s="6">
        <f>Raw_Data!K300</f>
        <v>0</v>
      </c>
      <c r="N300" s="5">
        <f>Raw_Data!L300</f>
        <v>450</v>
      </c>
      <c r="O300" s="5">
        <f t="shared" si="8"/>
        <v>202.5</v>
      </c>
      <c r="P300" s="13">
        <f t="shared" si="9"/>
        <v>0.45</v>
      </c>
      <c r="Q300" s="2" t="str">
        <f>Raw_Data!M300</f>
        <v>Card</v>
      </c>
      <c r="R300" s="2" t="str">
        <f>Raw_Data!N300</f>
        <v>No</v>
      </c>
    </row>
    <row r="301" spans="1:18" x14ac:dyDescent="0.25">
      <c r="A301" s="7" t="str">
        <f>Raw_Data!A301</f>
        <v>ORD-0300</v>
      </c>
      <c r="B301" s="8">
        <f>Raw_Data!B301</f>
        <v>45589</v>
      </c>
      <c r="C301" s="7" t="str">
        <f>TEXT(Raw_Data!B301,"MMM")</f>
        <v>Oct</v>
      </c>
      <c r="D301" s="7">
        <f>YEAR(Raw_Data!B301)</f>
        <v>2024</v>
      </c>
      <c r="E301" s="9" t="str">
        <f>Raw_Data!C301</f>
        <v>Vijay Tiwari</v>
      </c>
      <c r="F301" s="7" t="str">
        <f>Raw_Data!D301</f>
        <v>Hyderabad</v>
      </c>
      <c r="G301" s="9" t="str">
        <f>Raw_Data!E301</f>
        <v>Soframycin Cream</v>
      </c>
      <c r="H301" s="7" t="str">
        <f>Raw_Data!F301</f>
        <v>Cream</v>
      </c>
      <c r="I301" s="7">
        <f>Raw_Data!G301</f>
        <v>15</v>
      </c>
      <c r="J301" s="10">
        <f>Raw_Data!H301</f>
        <v>72</v>
      </c>
      <c r="K301" s="10">
        <f>Raw_Data!I301</f>
        <v>33.840000000000003</v>
      </c>
      <c r="L301" s="10">
        <f>Raw_Data!J301</f>
        <v>1080</v>
      </c>
      <c r="M301" s="11">
        <f>Raw_Data!K301</f>
        <v>10</v>
      </c>
      <c r="N301" s="10">
        <f>Raw_Data!L301</f>
        <v>972</v>
      </c>
      <c r="O301" s="10">
        <f t="shared" si="8"/>
        <v>572.4</v>
      </c>
      <c r="P301" s="14">
        <f t="shared" si="9"/>
        <v>0.53</v>
      </c>
      <c r="Q301" s="7" t="str">
        <f>Raw_Data!M301</f>
        <v>UPI</v>
      </c>
      <c r="R301" s="7" t="str">
        <f>Raw_Data!N301</f>
        <v>No</v>
      </c>
    </row>
    <row r="302" spans="1:18" x14ac:dyDescent="0.25">
      <c r="A302" s="2" t="str">
        <f>Raw_Data!A302</f>
        <v>ORD-0301</v>
      </c>
      <c r="B302" s="3">
        <f>Raw_Data!B302</f>
        <v>45548</v>
      </c>
      <c r="C302" s="2" t="str">
        <f>TEXT(Raw_Data!B302,"MMM")</f>
        <v>Sep</v>
      </c>
      <c r="D302" s="2">
        <f>YEAR(Raw_Data!B302)</f>
        <v>2024</v>
      </c>
      <c r="E302" s="4" t="str">
        <f>Raw_Data!C302</f>
        <v>Amit Patel</v>
      </c>
      <c r="F302" s="2" t="str">
        <f>Raw_Data!D302</f>
        <v>Mumbai</v>
      </c>
      <c r="G302" s="4" t="str">
        <f>Raw_Data!E302</f>
        <v>Paracetamol Syrup</v>
      </c>
      <c r="H302" s="2" t="str">
        <f>Raw_Data!F302</f>
        <v>Syrup</v>
      </c>
      <c r="I302" s="2">
        <f>Raw_Data!G302</f>
        <v>16</v>
      </c>
      <c r="J302" s="5">
        <f>Raw_Data!H302</f>
        <v>45</v>
      </c>
      <c r="K302" s="5">
        <f>Raw_Data!I302</f>
        <v>21.6</v>
      </c>
      <c r="L302" s="5">
        <f>Raw_Data!J302</f>
        <v>720</v>
      </c>
      <c r="M302" s="6">
        <f>Raw_Data!K302</f>
        <v>0</v>
      </c>
      <c r="N302" s="5">
        <f>Raw_Data!L302</f>
        <v>720</v>
      </c>
      <c r="O302" s="5">
        <f t="shared" si="8"/>
        <v>374.4</v>
      </c>
      <c r="P302" s="13">
        <f t="shared" si="9"/>
        <v>0.52</v>
      </c>
      <c r="Q302" s="2" t="str">
        <f>Raw_Data!M302</f>
        <v>UPI</v>
      </c>
      <c r="R302" s="2" t="str">
        <f>Raw_Data!N302</f>
        <v>Yes</v>
      </c>
    </row>
    <row r="303" spans="1:18" x14ac:dyDescent="0.25">
      <c r="A303" s="7" t="str">
        <f>Raw_Data!A303</f>
        <v>ORD-0302</v>
      </c>
      <c r="B303" s="8">
        <f>Raw_Data!B303</f>
        <v>45364</v>
      </c>
      <c r="C303" s="7" t="str">
        <f>TEXT(Raw_Data!B303,"MMM")</f>
        <v>Mar</v>
      </c>
      <c r="D303" s="7">
        <f>YEAR(Raw_Data!B303)</f>
        <v>2024</v>
      </c>
      <c r="E303" s="9" t="str">
        <f>Raw_Data!C303</f>
        <v>Sunita Shah</v>
      </c>
      <c r="F303" s="7" t="str">
        <f>Raw_Data!D303</f>
        <v>Pune</v>
      </c>
      <c r="G303" s="9" t="str">
        <f>Raw_Data!E303</f>
        <v>Dexamethasone Inj</v>
      </c>
      <c r="H303" s="7" t="str">
        <f>Raw_Data!F303</f>
        <v>Injection</v>
      </c>
      <c r="I303" s="7">
        <f>Raw_Data!G303</f>
        <v>15</v>
      </c>
      <c r="J303" s="10">
        <f>Raw_Data!H303</f>
        <v>95</v>
      </c>
      <c r="K303" s="10">
        <f>Raw_Data!I303</f>
        <v>57</v>
      </c>
      <c r="L303" s="10">
        <f>Raw_Data!J303</f>
        <v>1425</v>
      </c>
      <c r="M303" s="11">
        <f>Raw_Data!K303</f>
        <v>5</v>
      </c>
      <c r="N303" s="10">
        <f>Raw_Data!L303</f>
        <v>1353.75</v>
      </c>
      <c r="O303" s="10">
        <f t="shared" si="8"/>
        <v>570</v>
      </c>
      <c r="P303" s="14">
        <f t="shared" si="9"/>
        <v>0.4</v>
      </c>
      <c r="Q303" s="7" t="str">
        <f>Raw_Data!M303</f>
        <v>Card</v>
      </c>
      <c r="R303" s="7" t="str">
        <f>Raw_Data!N303</f>
        <v>Yes</v>
      </c>
    </row>
    <row r="304" spans="1:18" x14ac:dyDescent="0.25">
      <c r="A304" s="2" t="str">
        <f>Raw_Data!A304</f>
        <v>ORD-0303</v>
      </c>
      <c r="B304" s="3">
        <f>Raw_Data!B304</f>
        <v>45648</v>
      </c>
      <c r="C304" s="2" t="str">
        <f>TEXT(Raw_Data!B304,"MMM")</f>
        <v>Dec</v>
      </c>
      <c r="D304" s="2">
        <f>YEAR(Raw_Data!B304)</f>
        <v>2024</v>
      </c>
      <c r="E304" s="4" t="str">
        <f>Raw_Data!C304</f>
        <v>Arjun Agarwal</v>
      </c>
      <c r="F304" s="2" t="str">
        <f>Raw_Data!D304</f>
        <v>Delhi</v>
      </c>
      <c r="G304" s="4" t="str">
        <f>Raw_Data!E304</f>
        <v>Fluconazole 150mg</v>
      </c>
      <c r="H304" s="2" t="str">
        <f>Raw_Data!F304</f>
        <v>Capsule</v>
      </c>
      <c r="I304" s="2">
        <f>Raw_Data!G304</f>
        <v>10</v>
      </c>
      <c r="J304" s="5">
        <f>Raw_Data!H304</f>
        <v>75</v>
      </c>
      <c r="K304" s="5">
        <f>Raw_Data!I304</f>
        <v>37.5</v>
      </c>
      <c r="L304" s="5">
        <f>Raw_Data!J304</f>
        <v>750</v>
      </c>
      <c r="M304" s="6">
        <f>Raw_Data!K304</f>
        <v>0</v>
      </c>
      <c r="N304" s="5">
        <f>Raw_Data!L304</f>
        <v>750</v>
      </c>
      <c r="O304" s="5">
        <f t="shared" si="8"/>
        <v>375</v>
      </c>
      <c r="P304" s="13">
        <f t="shared" si="9"/>
        <v>0.5</v>
      </c>
      <c r="Q304" s="2" t="str">
        <f>Raw_Data!M304</f>
        <v>Cash</v>
      </c>
      <c r="R304" s="2" t="str">
        <f>Raw_Data!N304</f>
        <v>No</v>
      </c>
    </row>
    <row r="305" spans="1:18" x14ac:dyDescent="0.25">
      <c r="A305" s="7" t="str">
        <f>Raw_Data!A305</f>
        <v>ORD-0304</v>
      </c>
      <c r="B305" s="8">
        <f>Raw_Data!B305</f>
        <v>45347</v>
      </c>
      <c r="C305" s="7" t="str">
        <f>TEXT(Raw_Data!B305,"MMM")</f>
        <v>Feb</v>
      </c>
      <c r="D305" s="7">
        <f>YEAR(Raw_Data!B305)</f>
        <v>2024</v>
      </c>
      <c r="E305" s="9" t="str">
        <f>Raw_Data!C305</f>
        <v>Pooja Shah</v>
      </c>
      <c r="F305" s="7" t="str">
        <f>Raw_Data!D305</f>
        <v>Hyderabad</v>
      </c>
      <c r="G305" s="9" t="str">
        <f>Raw_Data!E305</f>
        <v>Betadine Cream</v>
      </c>
      <c r="H305" s="7" t="str">
        <f>Raw_Data!F305</f>
        <v>Cream</v>
      </c>
      <c r="I305" s="7">
        <f>Raw_Data!G305</f>
        <v>17</v>
      </c>
      <c r="J305" s="10">
        <f>Raw_Data!H305</f>
        <v>85</v>
      </c>
      <c r="K305" s="10">
        <f>Raw_Data!I305</f>
        <v>39.950000000000003</v>
      </c>
      <c r="L305" s="10">
        <f>Raw_Data!J305</f>
        <v>1445</v>
      </c>
      <c r="M305" s="11">
        <f>Raw_Data!K305</f>
        <v>0</v>
      </c>
      <c r="N305" s="10">
        <f>Raw_Data!L305</f>
        <v>1445</v>
      </c>
      <c r="O305" s="10">
        <f t="shared" si="8"/>
        <v>765.84999999999991</v>
      </c>
      <c r="P305" s="14">
        <f t="shared" si="9"/>
        <v>0.52999999999999992</v>
      </c>
      <c r="Q305" s="7" t="str">
        <f>Raw_Data!M305</f>
        <v>Card</v>
      </c>
      <c r="R305" s="7" t="str">
        <f>Raw_Data!N305</f>
        <v>No</v>
      </c>
    </row>
    <row r="306" spans="1:18" x14ac:dyDescent="0.25">
      <c r="A306" s="2" t="str">
        <f>Raw_Data!A306</f>
        <v>ORD-0305</v>
      </c>
      <c r="B306" s="3">
        <f>Raw_Data!B306</f>
        <v>45410</v>
      </c>
      <c r="C306" s="2" t="str">
        <f>TEXT(Raw_Data!B306,"MMM")</f>
        <v>Apr</v>
      </c>
      <c r="D306" s="2">
        <f>YEAR(Raw_Data!B306)</f>
        <v>2024</v>
      </c>
      <c r="E306" s="4" t="str">
        <f>Raw_Data!C306</f>
        <v>Rohit Shah</v>
      </c>
      <c r="F306" s="2" t="str">
        <f>Raw_Data!D306</f>
        <v>Bangalore</v>
      </c>
      <c r="G306" s="4" t="str">
        <f>Raw_Data!E306</f>
        <v>Protein Supplement</v>
      </c>
      <c r="H306" s="2" t="str">
        <f>Raw_Data!F306</f>
        <v>Powder</v>
      </c>
      <c r="I306" s="2">
        <f>Raw_Data!G306</f>
        <v>6</v>
      </c>
      <c r="J306" s="5">
        <f>Raw_Data!H306</f>
        <v>450</v>
      </c>
      <c r="K306" s="5">
        <f>Raw_Data!I306</f>
        <v>247.5</v>
      </c>
      <c r="L306" s="5">
        <f>Raw_Data!J306</f>
        <v>2700</v>
      </c>
      <c r="M306" s="6">
        <f>Raw_Data!K306</f>
        <v>10</v>
      </c>
      <c r="N306" s="5">
        <f>Raw_Data!L306</f>
        <v>2430</v>
      </c>
      <c r="O306" s="5">
        <f t="shared" si="8"/>
        <v>1215</v>
      </c>
      <c r="P306" s="13">
        <f t="shared" si="9"/>
        <v>0.45</v>
      </c>
      <c r="Q306" s="2" t="str">
        <f>Raw_Data!M306</f>
        <v>UPI</v>
      </c>
      <c r="R306" s="2" t="str">
        <f>Raw_Data!N306</f>
        <v>No</v>
      </c>
    </row>
    <row r="307" spans="1:18" x14ac:dyDescent="0.25">
      <c r="A307" s="7" t="str">
        <f>Raw_Data!A307</f>
        <v>ORD-0306</v>
      </c>
      <c r="B307" s="8">
        <f>Raw_Data!B307</f>
        <v>45595</v>
      </c>
      <c r="C307" s="7" t="str">
        <f>TEXT(Raw_Data!B307,"MMM")</f>
        <v>Oct</v>
      </c>
      <c r="D307" s="7">
        <f>YEAR(Raw_Data!B307)</f>
        <v>2024</v>
      </c>
      <c r="E307" s="9" t="str">
        <f>Raw_Data!C307</f>
        <v>Amit Rao</v>
      </c>
      <c r="F307" s="7" t="str">
        <f>Raw_Data!D307</f>
        <v>Mumbai</v>
      </c>
      <c r="G307" s="9" t="str">
        <f>Raw_Data!E307</f>
        <v>Vitamin D3 60K</v>
      </c>
      <c r="H307" s="7" t="str">
        <f>Raw_Data!F307</f>
        <v>Capsule</v>
      </c>
      <c r="I307" s="7">
        <f>Raw_Data!G307</f>
        <v>7</v>
      </c>
      <c r="J307" s="10">
        <f>Raw_Data!H307</f>
        <v>55</v>
      </c>
      <c r="K307" s="10">
        <f>Raw_Data!I307</f>
        <v>27.5</v>
      </c>
      <c r="L307" s="10">
        <f>Raw_Data!J307</f>
        <v>385</v>
      </c>
      <c r="M307" s="11">
        <f>Raw_Data!K307</f>
        <v>5</v>
      </c>
      <c r="N307" s="10">
        <f>Raw_Data!L307</f>
        <v>365.75</v>
      </c>
      <c r="O307" s="10">
        <f t="shared" si="8"/>
        <v>192.5</v>
      </c>
      <c r="P307" s="14">
        <f t="shared" si="9"/>
        <v>0.5</v>
      </c>
      <c r="Q307" s="7" t="str">
        <f>Raw_Data!M307</f>
        <v>UPI</v>
      </c>
      <c r="R307" s="7" t="str">
        <f>Raw_Data!N307</f>
        <v>Yes</v>
      </c>
    </row>
    <row r="308" spans="1:18" x14ac:dyDescent="0.25">
      <c r="A308" s="2" t="str">
        <f>Raw_Data!A308</f>
        <v>ORD-0307</v>
      </c>
      <c r="B308" s="3">
        <f>Raw_Data!B308</f>
        <v>45344</v>
      </c>
      <c r="C308" s="2" t="str">
        <f>TEXT(Raw_Data!B308,"MMM")</f>
        <v>Feb</v>
      </c>
      <c r="D308" s="2">
        <f>YEAR(Raw_Data!B308)</f>
        <v>2024</v>
      </c>
      <c r="E308" s="4" t="str">
        <f>Raw_Data!C308</f>
        <v>Rekha Verma</v>
      </c>
      <c r="F308" s="2" t="str">
        <f>Raw_Data!D308</f>
        <v>Bangalore</v>
      </c>
      <c r="G308" s="4" t="str">
        <f>Raw_Data!E308</f>
        <v>Antifungal Powder</v>
      </c>
      <c r="H308" s="2" t="str">
        <f>Raw_Data!F308</f>
        <v>Powder</v>
      </c>
      <c r="I308" s="2">
        <f>Raw_Data!G308</f>
        <v>12</v>
      </c>
      <c r="J308" s="5">
        <f>Raw_Data!H308</f>
        <v>55</v>
      </c>
      <c r="K308" s="5">
        <f>Raw_Data!I308</f>
        <v>30.25</v>
      </c>
      <c r="L308" s="5">
        <f>Raw_Data!J308</f>
        <v>660</v>
      </c>
      <c r="M308" s="6">
        <f>Raw_Data!K308</f>
        <v>10</v>
      </c>
      <c r="N308" s="5">
        <f>Raw_Data!L308</f>
        <v>594</v>
      </c>
      <c r="O308" s="5">
        <f t="shared" si="8"/>
        <v>297</v>
      </c>
      <c r="P308" s="13">
        <f t="shared" si="9"/>
        <v>0.45</v>
      </c>
      <c r="Q308" s="2" t="str">
        <f>Raw_Data!M308</f>
        <v>Cash</v>
      </c>
      <c r="R308" s="2" t="str">
        <f>Raw_Data!N308</f>
        <v>No</v>
      </c>
    </row>
    <row r="309" spans="1:18" x14ac:dyDescent="0.25">
      <c r="A309" s="7" t="str">
        <f>Raw_Data!A309</f>
        <v>ORD-0308</v>
      </c>
      <c r="B309" s="8">
        <f>Raw_Data!B309</f>
        <v>45619</v>
      </c>
      <c r="C309" s="7" t="str">
        <f>TEXT(Raw_Data!B309,"MMM")</f>
        <v>Nov</v>
      </c>
      <c r="D309" s="7">
        <f>YEAR(Raw_Data!B309)</f>
        <v>2024</v>
      </c>
      <c r="E309" s="9" t="str">
        <f>Raw_Data!C309</f>
        <v>Nisha Gupta</v>
      </c>
      <c r="F309" s="7" t="str">
        <f>Raw_Data!D309</f>
        <v>Surat</v>
      </c>
      <c r="G309" s="9" t="str">
        <f>Raw_Data!E309</f>
        <v>Vitamin B12 Inj</v>
      </c>
      <c r="H309" s="7" t="str">
        <f>Raw_Data!F309</f>
        <v>Injection</v>
      </c>
      <c r="I309" s="7">
        <f>Raw_Data!G309</f>
        <v>13</v>
      </c>
      <c r="J309" s="10">
        <f>Raw_Data!H309</f>
        <v>60</v>
      </c>
      <c r="K309" s="10">
        <f>Raw_Data!I309</f>
        <v>36</v>
      </c>
      <c r="L309" s="10">
        <f>Raw_Data!J309</f>
        <v>780</v>
      </c>
      <c r="M309" s="11">
        <f>Raw_Data!K309</f>
        <v>0</v>
      </c>
      <c r="N309" s="10">
        <f>Raw_Data!L309</f>
        <v>780</v>
      </c>
      <c r="O309" s="10">
        <f t="shared" si="8"/>
        <v>312</v>
      </c>
      <c r="P309" s="14">
        <f t="shared" si="9"/>
        <v>0.4</v>
      </c>
      <c r="Q309" s="7" t="str">
        <f>Raw_Data!M309</f>
        <v>UPI</v>
      </c>
      <c r="R309" s="7" t="str">
        <f>Raw_Data!N309</f>
        <v>Yes</v>
      </c>
    </row>
    <row r="310" spans="1:18" x14ac:dyDescent="0.25">
      <c r="A310" s="2" t="str">
        <f>Raw_Data!A310</f>
        <v>ORD-0309</v>
      </c>
      <c r="B310" s="3">
        <f>Raw_Data!B310</f>
        <v>45636</v>
      </c>
      <c r="C310" s="2" t="str">
        <f>TEXT(Raw_Data!B310,"MMM")</f>
        <v>Dec</v>
      </c>
      <c r="D310" s="2">
        <f>YEAR(Raw_Data!B310)</f>
        <v>2024</v>
      </c>
      <c r="E310" s="4" t="str">
        <f>Raw_Data!C310</f>
        <v>Deepa Kumar</v>
      </c>
      <c r="F310" s="2" t="str">
        <f>Raw_Data!D310</f>
        <v>Surat</v>
      </c>
      <c r="G310" s="4" t="str">
        <f>Raw_Data!E310</f>
        <v>Candid Cream</v>
      </c>
      <c r="H310" s="2" t="str">
        <f>Raw_Data!F310</f>
        <v>Cream</v>
      </c>
      <c r="I310" s="2">
        <f>Raw_Data!G310</f>
        <v>19</v>
      </c>
      <c r="J310" s="5">
        <f>Raw_Data!H310</f>
        <v>65</v>
      </c>
      <c r="K310" s="5">
        <f>Raw_Data!I310</f>
        <v>30.55</v>
      </c>
      <c r="L310" s="5">
        <f>Raw_Data!J310</f>
        <v>1235</v>
      </c>
      <c r="M310" s="6">
        <f>Raw_Data!K310</f>
        <v>0</v>
      </c>
      <c r="N310" s="5">
        <f>Raw_Data!L310</f>
        <v>1235</v>
      </c>
      <c r="O310" s="5">
        <f t="shared" si="8"/>
        <v>654.54999999999995</v>
      </c>
      <c r="P310" s="13">
        <f t="shared" si="9"/>
        <v>0.52999999999999992</v>
      </c>
      <c r="Q310" s="2" t="str">
        <f>Raw_Data!M310</f>
        <v>Card</v>
      </c>
      <c r="R310" s="2" t="str">
        <f>Raw_Data!N310</f>
        <v>No</v>
      </c>
    </row>
    <row r="311" spans="1:18" x14ac:dyDescent="0.25">
      <c r="A311" s="7" t="str">
        <f>Raw_Data!A311</f>
        <v>ORD-0310</v>
      </c>
      <c r="B311" s="8">
        <f>Raw_Data!B311</f>
        <v>45351</v>
      </c>
      <c r="C311" s="7" t="str">
        <f>TEXT(Raw_Data!B311,"MMM")</f>
        <v>Feb</v>
      </c>
      <c r="D311" s="7">
        <f>YEAR(Raw_Data!B311)</f>
        <v>2024</v>
      </c>
      <c r="E311" s="9" t="str">
        <f>Raw_Data!C311</f>
        <v>Nikhil Mehta</v>
      </c>
      <c r="F311" s="7" t="str">
        <f>Raw_Data!D311</f>
        <v>Bangalore</v>
      </c>
      <c r="G311" s="9" t="str">
        <f>Raw_Data!E311</f>
        <v>Paracetamol Syrup</v>
      </c>
      <c r="H311" s="7" t="str">
        <f>Raw_Data!F311</f>
        <v>Syrup</v>
      </c>
      <c r="I311" s="7">
        <f>Raw_Data!G311</f>
        <v>17</v>
      </c>
      <c r="J311" s="10">
        <f>Raw_Data!H311</f>
        <v>45</v>
      </c>
      <c r="K311" s="10">
        <f>Raw_Data!I311</f>
        <v>21.6</v>
      </c>
      <c r="L311" s="10">
        <f>Raw_Data!J311</f>
        <v>765</v>
      </c>
      <c r="M311" s="11">
        <f>Raw_Data!K311</f>
        <v>10</v>
      </c>
      <c r="N311" s="10">
        <f>Raw_Data!L311</f>
        <v>688.5</v>
      </c>
      <c r="O311" s="10">
        <f t="shared" si="8"/>
        <v>397.79999999999995</v>
      </c>
      <c r="P311" s="14">
        <f t="shared" si="9"/>
        <v>0.51999999999999991</v>
      </c>
      <c r="Q311" s="7" t="str">
        <f>Raw_Data!M311</f>
        <v>Cash</v>
      </c>
      <c r="R311" s="7" t="str">
        <f>Raw_Data!N311</f>
        <v>No</v>
      </c>
    </row>
    <row r="312" spans="1:18" x14ac:dyDescent="0.25">
      <c r="A312" s="2" t="str">
        <f>Raw_Data!A312</f>
        <v>ORD-0311</v>
      </c>
      <c r="B312" s="3">
        <f>Raw_Data!B312</f>
        <v>45387</v>
      </c>
      <c r="C312" s="2" t="str">
        <f>TEXT(Raw_Data!B312,"MMM")</f>
        <v>Apr</v>
      </c>
      <c r="D312" s="2">
        <f>YEAR(Raw_Data!B312)</f>
        <v>2024</v>
      </c>
      <c r="E312" s="4" t="str">
        <f>Raw_Data!C312</f>
        <v>Sanjay Rao</v>
      </c>
      <c r="F312" s="2" t="str">
        <f>Raw_Data!D312</f>
        <v>Jaipur</v>
      </c>
      <c r="G312" s="4" t="str">
        <f>Raw_Data!E312</f>
        <v>Doxycycline 100mg</v>
      </c>
      <c r="H312" s="2" t="str">
        <f>Raw_Data!F312</f>
        <v>Capsule</v>
      </c>
      <c r="I312" s="2">
        <f>Raw_Data!G312</f>
        <v>6</v>
      </c>
      <c r="J312" s="5">
        <f>Raw_Data!H312</f>
        <v>90</v>
      </c>
      <c r="K312" s="5">
        <f>Raw_Data!I312</f>
        <v>45</v>
      </c>
      <c r="L312" s="5">
        <f>Raw_Data!J312</f>
        <v>540</v>
      </c>
      <c r="M312" s="6">
        <f>Raw_Data!K312</f>
        <v>15</v>
      </c>
      <c r="N312" s="5">
        <f>Raw_Data!L312</f>
        <v>459</v>
      </c>
      <c r="O312" s="5">
        <f t="shared" si="8"/>
        <v>270</v>
      </c>
      <c r="P312" s="13">
        <f t="shared" si="9"/>
        <v>0.5</v>
      </c>
      <c r="Q312" s="2" t="str">
        <f>Raw_Data!M312</f>
        <v>Cash</v>
      </c>
      <c r="R312" s="2" t="str">
        <f>Raw_Data!N312</f>
        <v>Yes</v>
      </c>
    </row>
    <row r="313" spans="1:18" x14ac:dyDescent="0.25">
      <c r="A313" s="7" t="str">
        <f>Raw_Data!A313</f>
        <v>ORD-0312</v>
      </c>
      <c r="B313" s="8">
        <f>Raw_Data!B313</f>
        <v>45319</v>
      </c>
      <c r="C313" s="7" t="str">
        <f>TEXT(Raw_Data!B313,"MMM")</f>
        <v>Jan</v>
      </c>
      <c r="D313" s="7">
        <f>YEAR(Raw_Data!B313)</f>
        <v>2024</v>
      </c>
      <c r="E313" s="9" t="str">
        <f>Raw_Data!C313</f>
        <v>Swati Verma</v>
      </c>
      <c r="F313" s="7" t="str">
        <f>Raw_Data!D313</f>
        <v>Mumbai</v>
      </c>
      <c r="G313" s="9" t="str">
        <f>Raw_Data!E313</f>
        <v>Protein Supplement</v>
      </c>
      <c r="H313" s="7" t="str">
        <f>Raw_Data!F313</f>
        <v>Powder</v>
      </c>
      <c r="I313" s="7">
        <f>Raw_Data!G313</f>
        <v>16</v>
      </c>
      <c r="J313" s="10">
        <f>Raw_Data!H313</f>
        <v>450</v>
      </c>
      <c r="K313" s="10">
        <f>Raw_Data!I313</f>
        <v>247.5</v>
      </c>
      <c r="L313" s="10">
        <f>Raw_Data!J313</f>
        <v>7200</v>
      </c>
      <c r="M313" s="11">
        <f>Raw_Data!K313</f>
        <v>0</v>
      </c>
      <c r="N313" s="10">
        <f>Raw_Data!L313</f>
        <v>7200</v>
      </c>
      <c r="O313" s="10">
        <f t="shared" si="8"/>
        <v>3240</v>
      </c>
      <c r="P313" s="14">
        <f t="shared" si="9"/>
        <v>0.45</v>
      </c>
      <c r="Q313" s="7" t="str">
        <f>Raw_Data!M313</f>
        <v>Card</v>
      </c>
      <c r="R313" s="7" t="str">
        <f>Raw_Data!N313</f>
        <v>No</v>
      </c>
    </row>
    <row r="314" spans="1:18" x14ac:dyDescent="0.25">
      <c r="A314" s="2" t="str">
        <f>Raw_Data!A314</f>
        <v>ORD-0313</v>
      </c>
      <c r="B314" s="3">
        <f>Raw_Data!B314</f>
        <v>45626</v>
      </c>
      <c r="C314" s="2" t="str">
        <f>TEXT(Raw_Data!B314,"MMM")</f>
        <v>Nov</v>
      </c>
      <c r="D314" s="2">
        <f>YEAR(Raw_Data!B314)</f>
        <v>2024</v>
      </c>
      <c r="E314" s="4" t="str">
        <f>Raw_Data!C314</f>
        <v>Rahul Dubey</v>
      </c>
      <c r="F314" s="2" t="str">
        <f>Raw_Data!D314</f>
        <v>Ahmedabad</v>
      </c>
      <c r="G314" s="4" t="str">
        <f>Raw_Data!E314</f>
        <v>Vitamin D3 60K</v>
      </c>
      <c r="H314" s="2" t="str">
        <f>Raw_Data!F314</f>
        <v>Capsule</v>
      </c>
      <c r="I314" s="2">
        <f>Raw_Data!G314</f>
        <v>14</v>
      </c>
      <c r="J314" s="5">
        <f>Raw_Data!H314</f>
        <v>55</v>
      </c>
      <c r="K314" s="5">
        <f>Raw_Data!I314</f>
        <v>27.5</v>
      </c>
      <c r="L314" s="5">
        <f>Raw_Data!J314</f>
        <v>770</v>
      </c>
      <c r="M314" s="6">
        <f>Raw_Data!K314</f>
        <v>15</v>
      </c>
      <c r="N314" s="5">
        <f>Raw_Data!L314</f>
        <v>654.5</v>
      </c>
      <c r="O314" s="5">
        <f t="shared" si="8"/>
        <v>385</v>
      </c>
      <c r="P314" s="13">
        <f t="shared" si="9"/>
        <v>0.5</v>
      </c>
      <c r="Q314" s="2" t="str">
        <f>Raw_Data!M314</f>
        <v>Cash</v>
      </c>
      <c r="R314" s="2" t="str">
        <f>Raw_Data!N314</f>
        <v>Yes</v>
      </c>
    </row>
    <row r="315" spans="1:18" x14ac:dyDescent="0.25">
      <c r="A315" s="7" t="str">
        <f>Raw_Data!A315</f>
        <v>ORD-0314</v>
      </c>
      <c r="B315" s="8">
        <f>Raw_Data!B315</f>
        <v>45404</v>
      </c>
      <c r="C315" s="7" t="str">
        <f>TEXT(Raw_Data!B315,"MMM")</f>
        <v>Apr</v>
      </c>
      <c r="D315" s="7">
        <f>YEAR(Raw_Data!B315)</f>
        <v>2024</v>
      </c>
      <c r="E315" s="9" t="str">
        <f>Raw_Data!C315</f>
        <v>Vijay Tiwari</v>
      </c>
      <c r="F315" s="7" t="str">
        <f>Raw_Data!D315</f>
        <v>Chennai</v>
      </c>
      <c r="G315" s="9" t="str">
        <f>Raw_Data!E315</f>
        <v>Insulin Glargine</v>
      </c>
      <c r="H315" s="7" t="str">
        <f>Raw_Data!F315</f>
        <v>Injection</v>
      </c>
      <c r="I315" s="7">
        <f>Raw_Data!G315</f>
        <v>8</v>
      </c>
      <c r="J315" s="10">
        <f>Raw_Data!H315</f>
        <v>850</v>
      </c>
      <c r="K315" s="10">
        <f>Raw_Data!I315</f>
        <v>510</v>
      </c>
      <c r="L315" s="10">
        <f>Raw_Data!J315</f>
        <v>6800</v>
      </c>
      <c r="M315" s="11">
        <f>Raw_Data!K315</f>
        <v>20</v>
      </c>
      <c r="N315" s="10">
        <f>Raw_Data!L315</f>
        <v>5440</v>
      </c>
      <c r="O315" s="10">
        <f t="shared" si="8"/>
        <v>2720</v>
      </c>
      <c r="P315" s="14">
        <f t="shared" si="9"/>
        <v>0.4</v>
      </c>
      <c r="Q315" s="7" t="str">
        <f>Raw_Data!M315</f>
        <v>UPI</v>
      </c>
      <c r="R315" s="7" t="str">
        <f>Raw_Data!N315</f>
        <v>Yes</v>
      </c>
    </row>
    <row r="316" spans="1:18" x14ac:dyDescent="0.25">
      <c r="A316" s="2" t="str">
        <f>Raw_Data!A316</f>
        <v>ORD-0315</v>
      </c>
      <c r="B316" s="3">
        <f>Raw_Data!B316</f>
        <v>45545</v>
      </c>
      <c r="C316" s="2" t="str">
        <f>TEXT(Raw_Data!B316,"MMM")</f>
        <v>Sep</v>
      </c>
      <c r="D316" s="2">
        <f>YEAR(Raw_Data!B316)</f>
        <v>2024</v>
      </c>
      <c r="E316" s="4" t="str">
        <f>Raw_Data!C316</f>
        <v>Meera Verma</v>
      </c>
      <c r="F316" s="2" t="str">
        <f>Raw_Data!D316</f>
        <v>Delhi</v>
      </c>
      <c r="G316" s="4" t="str">
        <f>Raw_Data!E316</f>
        <v>Refresh Tears</v>
      </c>
      <c r="H316" s="2" t="str">
        <f>Raw_Data!F316</f>
        <v>Drops</v>
      </c>
      <c r="I316" s="2">
        <f>Raw_Data!G316</f>
        <v>19</v>
      </c>
      <c r="J316" s="5">
        <f>Raw_Data!H316</f>
        <v>110</v>
      </c>
      <c r="K316" s="5">
        <f>Raw_Data!I316</f>
        <v>49.5</v>
      </c>
      <c r="L316" s="5">
        <f>Raw_Data!J316</f>
        <v>2090</v>
      </c>
      <c r="M316" s="6">
        <f>Raw_Data!K316</f>
        <v>0</v>
      </c>
      <c r="N316" s="5">
        <f>Raw_Data!L316</f>
        <v>2090</v>
      </c>
      <c r="O316" s="5">
        <f t="shared" si="8"/>
        <v>1149.5</v>
      </c>
      <c r="P316" s="13">
        <f t="shared" si="9"/>
        <v>0.55000000000000004</v>
      </c>
      <c r="Q316" s="2" t="str">
        <f>Raw_Data!M316</f>
        <v>Card</v>
      </c>
      <c r="R316" s="2" t="str">
        <f>Raw_Data!N316</f>
        <v>Yes</v>
      </c>
    </row>
    <row r="317" spans="1:18" x14ac:dyDescent="0.25">
      <c r="A317" s="7" t="str">
        <f>Raw_Data!A317</f>
        <v>ORD-0316</v>
      </c>
      <c r="B317" s="8">
        <f>Raw_Data!B317</f>
        <v>45313</v>
      </c>
      <c r="C317" s="7" t="str">
        <f>TEXT(Raw_Data!B317,"MMM")</f>
        <v>Jan</v>
      </c>
      <c r="D317" s="7">
        <f>YEAR(Raw_Data!B317)</f>
        <v>2024</v>
      </c>
      <c r="E317" s="9" t="str">
        <f>Raw_Data!C317</f>
        <v>Deepa Kumar</v>
      </c>
      <c r="F317" s="7" t="str">
        <f>Raw_Data!D317</f>
        <v>Ahmedabad</v>
      </c>
      <c r="G317" s="9" t="str">
        <f>Raw_Data!E317</f>
        <v>Antifungal Powder</v>
      </c>
      <c r="H317" s="7" t="str">
        <f>Raw_Data!F317</f>
        <v>Powder</v>
      </c>
      <c r="I317" s="7">
        <f>Raw_Data!G317</f>
        <v>18</v>
      </c>
      <c r="J317" s="10">
        <f>Raw_Data!H317</f>
        <v>55</v>
      </c>
      <c r="K317" s="10">
        <f>Raw_Data!I317</f>
        <v>30.25</v>
      </c>
      <c r="L317" s="10">
        <f>Raw_Data!J317</f>
        <v>990</v>
      </c>
      <c r="M317" s="11">
        <f>Raw_Data!K317</f>
        <v>5</v>
      </c>
      <c r="N317" s="10">
        <f>Raw_Data!L317</f>
        <v>940.5</v>
      </c>
      <c r="O317" s="10">
        <f t="shared" si="8"/>
        <v>445.5</v>
      </c>
      <c r="P317" s="14">
        <f t="shared" si="9"/>
        <v>0.45</v>
      </c>
      <c r="Q317" s="7" t="str">
        <f>Raw_Data!M317</f>
        <v>Cash</v>
      </c>
      <c r="R317" s="7" t="str">
        <f>Raw_Data!N317</f>
        <v>No</v>
      </c>
    </row>
    <row r="318" spans="1:18" x14ac:dyDescent="0.25">
      <c r="A318" s="2" t="str">
        <f>Raw_Data!A318</f>
        <v>ORD-0317</v>
      </c>
      <c r="B318" s="3">
        <f>Raw_Data!B318</f>
        <v>45308</v>
      </c>
      <c r="C318" s="2" t="str">
        <f>TEXT(Raw_Data!B318,"MMM")</f>
        <v>Jan</v>
      </c>
      <c r="D318" s="2">
        <f>YEAR(Raw_Data!B318)</f>
        <v>2024</v>
      </c>
      <c r="E318" s="4" t="str">
        <f>Raw_Data!C318</f>
        <v>Deepa Singh</v>
      </c>
      <c r="F318" s="2" t="str">
        <f>Raw_Data!D318</f>
        <v>Pune</v>
      </c>
      <c r="G318" s="4" t="str">
        <f>Raw_Data!E318</f>
        <v>Fluconazole 150mg</v>
      </c>
      <c r="H318" s="2" t="str">
        <f>Raw_Data!F318</f>
        <v>Capsule</v>
      </c>
      <c r="I318" s="2">
        <f>Raw_Data!G318</f>
        <v>3</v>
      </c>
      <c r="J318" s="5">
        <f>Raw_Data!H318</f>
        <v>75</v>
      </c>
      <c r="K318" s="5">
        <f>Raw_Data!I318</f>
        <v>37.5</v>
      </c>
      <c r="L318" s="5">
        <f>Raw_Data!J318</f>
        <v>225</v>
      </c>
      <c r="M318" s="6">
        <f>Raw_Data!K318</f>
        <v>15</v>
      </c>
      <c r="N318" s="5">
        <f>Raw_Data!L318</f>
        <v>191.25</v>
      </c>
      <c r="O318" s="5">
        <f t="shared" si="8"/>
        <v>112.5</v>
      </c>
      <c r="P318" s="13">
        <f t="shared" si="9"/>
        <v>0.5</v>
      </c>
      <c r="Q318" s="2" t="str">
        <f>Raw_Data!M318</f>
        <v>Cash</v>
      </c>
      <c r="R318" s="2" t="str">
        <f>Raw_Data!N318</f>
        <v>No</v>
      </c>
    </row>
    <row r="319" spans="1:18" x14ac:dyDescent="0.25">
      <c r="A319" s="7" t="str">
        <f>Raw_Data!A319</f>
        <v>ORD-0318</v>
      </c>
      <c r="B319" s="8">
        <f>Raw_Data!B319</f>
        <v>45593</v>
      </c>
      <c r="C319" s="7" t="str">
        <f>TEXT(Raw_Data!B319,"MMM")</f>
        <v>Oct</v>
      </c>
      <c r="D319" s="7">
        <f>YEAR(Raw_Data!B319)</f>
        <v>2024</v>
      </c>
      <c r="E319" s="9" t="str">
        <f>Raw_Data!C319</f>
        <v>Rohit Dubey</v>
      </c>
      <c r="F319" s="7" t="str">
        <f>Raw_Data!D319</f>
        <v>Surat</v>
      </c>
      <c r="G319" s="9" t="str">
        <f>Raw_Data!E319</f>
        <v>Candid Cream</v>
      </c>
      <c r="H319" s="7" t="str">
        <f>Raw_Data!F319</f>
        <v>Cream</v>
      </c>
      <c r="I319" s="7">
        <f>Raw_Data!G319</f>
        <v>14</v>
      </c>
      <c r="J319" s="10">
        <f>Raw_Data!H319</f>
        <v>65</v>
      </c>
      <c r="K319" s="10">
        <f>Raw_Data!I319</f>
        <v>30.55</v>
      </c>
      <c r="L319" s="10">
        <f>Raw_Data!J319</f>
        <v>910</v>
      </c>
      <c r="M319" s="11">
        <f>Raw_Data!K319</f>
        <v>0</v>
      </c>
      <c r="N319" s="10">
        <f>Raw_Data!L319</f>
        <v>910</v>
      </c>
      <c r="O319" s="10">
        <f t="shared" si="8"/>
        <v>482.3</v>
      </c>
      <c r="P319" s="14">
        <f t="shared" si="9"/>
        <v>0.53</v>
      </c>
      <c r="Q319" s="7" t="str">
        <f>Raw_Data!M319</f>
        <v>UPI</v>
      </c>
      <c r="R319" s="7" t="str">
        <f>Raw_Data!N319</f>
        <v>No</v>
      </c>
    </row>
    <row r="320" spans="1:18" x14ac:dyDescent="0.25">
      <c r="A320" s="2" t="str">
        <f>Raw_Data!A320</f>
        <v>ORD-0319</v>
      </c>
      <c r="B320" s="3">
        <f>Raw_Data!B320</f>
        <v>45322</v>
      </c>
      <c r="C320" s="2" t="str">
        <f>TEXT(Raw_Data!B320,"MMM")</f>
        <v>Jan</v>
      </c>
      <c r="D320" s="2">
        <f>YEAR(Raw_Data!B320)</f>
        <v>2024</v>
      </c>
      <c r="E320" s="4" t="str">
        <f>Raw_Data!C320</f>
        <v>Kavita Kumar</v>
      </c>
      <c r="F320" s="2" t="str">
        <f>Raw_Data!D320</f>
        <v>Jaipur</v>
      </c>
      <c r="G320" s="4" t="str">
        <f>Raw_Data!E320</f>
        <v>Cipla Eye Drops</v>
      </c>
      <c r="H320" s="2" t="str">
        <f>Raw_Data!F320</f>
        <v>Drops</v>
      </c>
      <c r="I320" s="2">
        <f>Raw_Data!G320</f>
        <v>9</v>
      </c>
      <c r="J320" s="5">
        <f>Raw_Data!H320</f>
        <v>70</v>
      </c>
      <c r="K320" s="5">
        <f>Raw_Data!I320</f>
        <v>31.5</v>
      </c>
      <c r="L320" s="5">
        <f>Raw_Data!J320</f>
        <v>630</v>
      </c>
      <c r="M320" s="6">
        <f>Raw_Data!K320</f>
        <v>20</v>
      </c>
      <c r="N320" s="5">
        <f>Raw_Data!L320</f>
        <v>504</v>
      </c>
      <c r="O320" s="5">
        <f t="shared" si="8"/>
        <v>346.5</v>
      </c>
      <c r="P320" s="13">
        <f t="shared" si="9"/>
        <v>0.55000000000000004</v>
      </c>
      <c r="Q320" s="2" t="str">
        <f>Raw_Data!M320</f>
        <v>UPI</v>
      </c>
      <c r="R320" s="2" t="str">
        <f>Raw_Data!N320</f>
        <v>Yes</v>
      </c>
    </row>
    <row r="321" spans="1:18" x14ac:dyDescent="0.25">
      <c r="A321" s="7" t="str">
        <f>Raw_Data!A321</f>
        <v>ORD-0320</v>
      </c>
      <c r="B321" s="8">
        <f>Raw_Data!B321</f>
        <v>45585</v>
      </c>
      <c r="C321" s="7" t="str">
        <f>TEXT(Raw_Data!B321,"MMM")</f>
        <v>Oct</v>
      </c>
      <c r="D321" s="7">
        <f>YEAR(Raw_Data!B321)</f>
        <v>2024</v>
      </c>
      <c r="E321" s="9" t="str">
        <f>Raw_Data!C321</f>
        <v>Vikram Tiwari</v>
      </c>
      <c r="F321" s="7" t="str">
        <f>Raw_Data!D321</f>
        <v>Bangalore</v>
      </c>
      <c r="G321" s="9" t="str">
        <f>Raw_Data!E321</f>
        <v>Insulin Glargine</v>
      </c>
      <c r="H321" s="7" t="str">
        <f>Raw_Data!F321</f>
        <v>Injection</v>
      </c>
      <c r="I321" s="7">
        <f>Raw_Data!G321</f>
        <v>14</v>
      </c>
      <c r="J321" s="10">
        <f>Raw_Data!H321</f>
        <v>850</v>
      </c>
      <c r="K321" s="10">
        <f>Raw_Data!I321</f>
        <v>510</v>
      </c>
      <c r="L321" s="10">
        <f>Raw_Data!J321</f>
        <v>11900</v>
      </c>
      <c r="M321" s="11">
        <f>Raw_Data!K321</f>
        <v>0</v>
      </c>
      <c r="N321" s="10">
        <f>Raw_Data!L321</f>
        <v>11900</v>
      </c>
      <c r="O321" s="10">
        <f t="shared" si="8"/>
        <v>4760</v>
      </c>
      <c r="P321" s="14">
        <f t="shared" si="9"/>
        <v>0.4</v>
      </c>
      <c r="Q321" s="7" t="str">
        <f>Raw_Data!M321</f>
        <v>UPI</v>
      </c>
      <c r="R321" s="7" t="str">
        <f>Raw_Data!N321</f>
        <v>No</v>
      </c>
    </row>
    <row r="322" spans="1:18" x14ac:dyDescent="0.25">
      <c r="A322" s="2" t="str">
        <f>Raw_Data!A322</f>
        <v>ORD-0321</v>
      </c>
      <c r="B322" s="3">
        <f>Raw_Data!B322</f>
        <v>45359</v>
      </c>
      <c r="C322" s="2" t="str">
        <f>TEXT(Raw_Data!B322,"MMM")</f>
        <v>Mar</v>
      </c>
      <c r="D322" s="2">
        <f>YEAR(Raw_Data!B322)</f>
        <v>2024</v>
      </c>
      <c r="E322" s="4" t="str">
        <f>Raw_Data!C322</f>
        <v>Suresh Agarwal</v>
      </c>
      <c r="F322" s="2" t="str">
        <f>Raw_Data!D322</f>
        <v>Pune</v>
      </c>
      <c r="G322" s="4" t="str">
        <f>Raw_Data!E322</f>
        <v>Ambroxol Syrup</v>
      </c>
      <c r="H322" s="2" t="str">
        <f>Raw_Data!F322</f>
        <v>Syrup</v>
      </c>
      <c r="I322" s="2">
        <f>Raw_Data!G322</f>
        <v>8</v>
      </c>
      <c r="J322" s="5">
        <f>Raw_Data!H322</f>
        <v>65</v>
      </c>
      <c r="K322" s="5">
        <f>Raw_Data!I322</f>
        <v>31.2</v>
      </c>
      <c r="L322" s="5">
        <f>Raw_Data!J322</f>
        <v>520</v>
      </c>
      <c r="M322" s="6">
        <f>Raw_Data!K322</f>
        <v>10</v>
      </c>
      <c r="N322" s="5">
        <f>Raw_Data!L322</f>
        <v>468</v>
      </c>
      <c r="O322" s="5">
        <f t="shared" ref="O322:O385" si="10">L322-(I322*K322)</f>
        <v>270.39999999999998</v>
      </c>
      <c r="P322" s="13">
        <f t="shared" ref="P322:P385" si="11">IFERROR((L322-(I322*K322))/L322,0)</f>
        <v>0.51999999999999991</v>
      </c>
      <c r="Q322" s="2" t="str">
        <f>Raw_Data!M322</f>
        <v>Card</v>
      </c>
      <c r="R322" s="2" t="str">
        <f>Raw_Data!N322</f>
        <v>No</v>
      </c>
    </row>
    <row r="323" spans="1:18" x14ac:dyDescent="0.25">
      <c r="A323" s="7" t="str">
        <f>Raw_Data!A323</f>
        <v>ORD-0322</v>
      </c>
      <c r="B323" s="8">
        <f>Raw_Data!B323</f>
        <v>45504</v>
      </c>
      <c r="C323" s="7" t="str">
        <f>TEXT(Raw_Data!B323,"MMM")</f>
        <v>Jul</v>
      </c>
      <c r="D323" s="7">
        <f>YEAR(Raw_Data!B323)</f>
        <v>2024</v>
      </c>
      <c r="E323" s="9" t="str">
        <f>Raw_Data!C323</f>
        <v>Meera Shah</v>
      </c>
      <c r="F323" s="7" t="str">
        <f>Raw_Data!D323</f>
        <v>Delhi</v>
      </c>
      <c r="G323" s="9" t="str">
        <f>Raw_Data!E323</f>
        <v>Vitamin D3 60K</v>
      </c>
      <c r="H323" s="7" t="str">
        <f>Raw_Data!F323</f>
        <v>Capsule</v>
      </c>
      <c r="I323" s="7">
        <f>Raw_Data!G323</f>
        <v>3</v>
      </c>
      <c r="J323" s="10">
        <f>Raw_Data!H323</f>
        <v>55</v>
      </c>
      <c r="K323" s="10">
        <f>Raw_Data!I323</f>
        <v>27.5</v>
      </c>
      <c r="L323" s="10">
        <f>Raw_Data!J323</f>
        <v>165</v>
      </c>
      <c r="M323" s="11">
        <f>Raw_Data!K323</f>
        <v>10</v>
      </c>
      <c r="N323" s="10">
        <f>Raw_Data!L323</f>
        <v>148.5</v>
      </c>
      <c r="O323" s="10">
        <f t="shared" si="10"/>
        <v>82.5</v>
      </c>
      <c r="P323" s="14">
        <f t="shared" si="11"/>
        <v>0.5</v>
      </c>
      <c r="Q323" s="7" t="str">
        <f>Raw_Data!M323</f>
        <v>Cash</v>
      </c>
      <c r="R323" s="7" t="str">
        <f>Raw_Data!N323</f>
        <v>Yes</v>
      </c>
    </row>
    <row r="324" spans="1:18" x14ac:dyDescent="0.25">
      <c r="A324" s="2" t="str">
        <f>Raw_Data!A324</f>
        <v>ORD-0323</v>
      </c>
      <c r="B324" s="3">
        <f>Raw_Data!B324</f>
        <v>45541</v>
      </c>
      <c r="C324" s="2" t="str">
        <f>TEXT(Raw_Data!B324,"MMM")</f>
        <v>Sep</v>
      </c>
      <c r="D324" s="2">
        <f>YEAR(Raw_Data!B324)</f>
        <v>2024</v>
      </c>
      <c r="E324" s="4" t="str">
        <f>Raw_Data!C324</f>
        <v>Nikhil Singh</v>
      </c>
      <c r="F324" s="2" t="str">
        <f>Raw_Data!D324</f>
        <v>Delhi</v>
      </c>
      <c r="G324" s="4" t="str">
        <f>Raw_Data!E324</f>
        <v>Insulin Glargine</v>
      </c>
      <c r="H324" s="2" t="str">
        <f>Raw_Data!F324</f>
        <v>Injection</v>
      </c>
      <c r="I324" s="2">
        <f>Raw_Data!G324</f>
        <v>15</v>
      </c>
      <c r="J324" s="5">
        <f>Raw_Data!H324</f>
        <v>850</v>
      </c>
      <c r="K324" s="5">
        <f>Raw_Data!I324</f>
        <v>510</v>
      </c>
      <c r="L324" s="5">
        <f>Raw_Data!J324</f>
        <v>12750</v>
      </c>
      <c r="M324" s="6">
        <f>Raw_Data!K324</f>
        <v>10</v>
      </c>
      <c r="N324" s="5">
        <f>Raw_Data!L324</f>
        <v>11475</v>
      </c>
      <c r="O324" s="5">
        <f t="shared" si="10"/>
        <v>5100</v>
      </c>
      <c r="P324" s="13">
        <f t="shared" si="11"/>
        <v>0.4</v>
      </c>
      <c r="Q324" s="2" t="str">
        <f>Raw_Data!M324</f>
        <v>UPI</v>
      </c>
      <c r="R324" s="2" t="str">
        <f>Raw_Data!N324</f>
        <v>Yes</v>
      </c>
    </row>
    <row r="325" spans="1:18" x14ac:dyDescent="0.25">
      <c r="A325" s="7" t="str">
        <f>Raw_Data!A325</f>
        <v>ORD-0324</v>
      </c>
      <c r="B325" s="8">
        <f>Raw_Data!B325</f>
        <v>45511</v>
      </c>
      <c r="C325" s="7" t="str">
        <f>TEXT(Raw_Data!B325,"MMM")</f>
        <v>Aug</v>
      </c>
      <c r="D325" s="7">
        <f>YEAR(Raw_Data!B325)</f>
        <v>2024</v>
      </c>
      <c r="E325" s="9" t="str">
        <f>Raw_Data!C325</f>
        <v>Vijay Gupta</v>
      </c>
      <c r="F325" s="7" t="str">
        <f>Raw_Data!D325</f>
        <v>Ahmedabad</v>
      </c>
      <c r="G325" s="9" t="str">
        <f>Raw_Data!E325</f>
        <v>ORS Electrolyte</v>
      </c>
      <c r="H325" s="7" t="str">
        <f>Raw_Data!F325</f>
        <v>Powder</v>
      </c>
      <c r="I325" s="7">
        <f>Raw_Data!G325</f>
        <v>9</v>
      </c>
      <c r="J325" s="10">
        <f>Raw_Data!H325</f>
        <v>30</v>
      </c>
      <c r="K325" s="10">
        <f>Raw_Data!I325</f>
        <v>16.5</v>
      </c>
      <c r="L325" s="10">
        <f>Raw_Data!J325</f>
        <v>270</v>
      </c>
      <c r="M325" s="11">
        <f>Raw_Data!K325</f>
        <v>10</v>
      </c>
      <c r="N325" s="10">
        <f>Raw_Data!L325</f>
        <v>243</v>
      </c>
      <c r="O325" s="10">
        <f t="shared" si="10"/>
        <v>121.5</v>
      </c>
      <c r="P325" s="14">
        <f t="shared" si="11"/>
        <v>0.45</v>
      </c>
      <c r="Q325" s="7" t="str">
        <f>Raw_Data!M325</f>
        <v>Card</v>
      </c>
      <c r="R325" s="7" t="str">
        <f>Raw_Data!N325</f>
        <v>No</v>
      </c>
    </row>
    <row r="326" spans="1:18" x14ac:dyDescent="0.25">
      <c r="A326" s="2" t="str">
        <f>Raw_Data!A326</f>
        <v>ORD-0325</v>
      </c>
      <c r="B326" s="3">
        <f>Raw_Data!B326</f>
        <v>45581</v>
      </c>
      <c r="C326" s="2" t="str">
        <f>TEXT(Raw_Data!B326,"MMM")</f>
        <v>Oct</v>
      </c>
      <c r="D326" s="2">
        <f>YEAR(Raw_Data!B326)</f>
        <v>2024</v>
      </c>
      <c r="E326" s="4" t="str">
        <f>Raw_Data!C326</f>
        <v>Sanjay Sharma</v>
      </c>
      <c r="F326" s="2" t="str">
        <f>Raw_Data!D326</f>
        <v>Pune</v>
      </c>
      <c r="G326" s="4" t="str">
        <f>Raw_Data!E326</f>
        <v>Protein Supplement</v>
      </c>
      <c r="H326" s="2" t="str">
        <f>Raw_Data!F326</f>
        <v>Powder</v>
      </c>
      <c r="I326" s="2">
        <f>Raw_Data!G326</f>
        <v>2</v>
      </c>
      <c r="J326" s="5">
        <f>Raw_Data!H326</f>
        <v>450</v>
      </c>
      <c r="K326" s="5">
        <f>Raw_Data!I326</f>
        <v>247.5</v>
      </c>
      <c r="L326" s="5">
        <f>Raw_Data!J326</f>
        <v>900</v>
      </c>
      <c r="M326" s="6">
        <f>Raw_Data!K326</f>
        <v>0</v>
      </c>
      <c r="N326" s="5">
        <f>Raw_Data!L326</f>
        <v>900</v>
      </c>
      <c r="O326" s="5">
        <f t="shared" si="10"/>
        <v>405</v>
      </c>
      <c r="P326" s="13">
        <f t="shared" si="11"/>
        <v>0.45</v>
      </c>
      <c r="Q326" s="2" t="str">
        <f>Raw_Data!M326</f>
        <v>UPI</v>
      </c>
      <c r="R326" s="2" t="str">
        <f>Raw_Data!N326</f>
        <v>Yes</v>
      </c>
    </row>
    <row r="327" spans="1:18" x14ac:dyDescent="0.25">
      <c r="A327" s="7" t="str">
        <f>Raw_Data!A327</f>
        <v>ORD-0326</v>
      </c>
      <c r="B327" s="8">
        <f>Raw_Data!B327</f>
        <v>45355</v>
      </c>
      <c r="C327" s="7" t="str">
        <f>TEXT(Raw_Data!B327,"MMM")</f>
        <v>Mar</v>
      </c>
      <c r="D327" s="7">
        <f>YEAR(Raw_Data!B327)</f>
        <v>2024</v>
      </c>
      <c r="E327" s="9" t="str">
        <f>Raw_Data!C327</f>
        <v>Vikram Nair</v>
      </c>
      <c r="F327" s="7" t="str">
        <f>Raw_Data!D327</f>
        <v>Ahmedabad</v>
      </c>
      <c r="G327" s="9" t="str">
        <f>Raw_Data!E327</f>
        <v>ORS Electrolyte</v>
      </c>
      <c r="H327" s="7" t="str">
        <f>Raw_Data!F327</f>
        <v>Powder</v>
      </c>
      <c r="I327" s="7">
        <f>Raw_Data!G327</f>
        <v>15</v>
      </c>
      <c r="J327" s="10">
        <f>Raw_Data!H327</f>
        <v>30</v>
      </c>
      <c r="K327" s="10">
        <f>Raw_Data!I327</f>
        <v>16.5</v>
      </c>
      <c r="L327" s="10">
        <f>Raw_Data!J327</f>
        <v>450</v>
      </c>
      <c r="M327" s="11">
        <f>Raw_Data!K327</f>
        <v>0</v>
      </c>
      <c r="N327" s="10">
        <f>Raw_Data!L327</f>
        <v>450</v>
      </c>
      <c r="O327" s="10">
        <f t="shared" si="10"/>
        <v>202.5</v>
      </c>
      <c r="P327" s="14">
        <f t="shared" si="11"/>
        <v>0.45</v>
      </c>
      <c r="Q327" s="7" t="str">
        <f>Raw_Data!M327</f>
        <v>Card</v>
      </c>
      <c r="R327" s="7" t="str">
        <f>Raw_Data!N327</f>
        <v>No</v>
      </c>
    </row>
    <row r="328" spans="1:18" x14ac:dyDescent="0.25">
      <c r="A328" s="2" t="str">
        <f>Raw_Data!A328</f>
        <v>ORD-0327</v>
      </c>
      <c r="B328" s="3">
        <f>Raw_Data!B328</f>
        <v>45624</v>
      </c>
      <c r="C328" s="2" t="str">
        <f>TEXT(Raw_Data!B328,"MMM")</f>
        <v>Nov</v>
      </c>
      <c r="D328" s="2">
        <f>YEAR(Raw_Data!B328)</f>
        <v>2024</v>
      </c>
      <c r="E328" s="4" t="str">
        <f>Raw_Data!C328</f>
        <v>Anjali Sharma</v>
      </c>
      <c r="F328" s="2" t="str">
        <f>Raw_Data!D328</f>
        <v>Chennai</v>
      </c>
      <c r="G328" s="4" t="str">
        <f>Raw_Data!E328</f>
        <v>Ondansetron Inj</v>
      </c>
      <c r="H328" s="2" t="str">
        <f>Raw_Data!F328</f>
        <v>Injection</v>
      </c>
      <c r="I328" s="2">
        <f>Raw_Data!G328</f>
        <v>3</v>
      </c>
      <c r="J328" s="5">
        <f>Raw_Data!H328</f>
        <v>120</v>
      </c>
      <c r="K328" s="5">
        <f>Raw_Data!I328</f>
        <v>72</v>
      </c>
      <c r="L328" s="5">
        <f>Raw_Data!J328</f>
        <v>360</v>
      </c>
      <c r="M328" s="6">
        <f>Raw_Data!K328</f>
        <v>10</v>
      </c>
      <c r="N328" s="5">
        <f>Raw_Data!L328</f>
        <v>324</v>
      </c>
      <c r="O328" s="5">
        <f t="shared" si="10"/>
        <v>144</v>
      </c>
      <c r="P328" s="13">
        <f t="shared" si="11"/>
        <v>0.4</v>
      </c>
      <c r="Q328" s="2" t="str">
        <f>Raw_Data!M328</f>
        <v>Card</v>
      </c>
      <c r="R328" s="2" t="str">
        <f>Raw_Data!N328</f>
        <v>Yes</v>
      </c>
    </row>
    <row r="329" spans="1:18" x14ac:dyDescent="0.25">
      <c r="A329" s="7" t="str">
        <f>Raw_Data!A329</f>
        <v>ORD-0328</v>
      </c>
      <c r="B329" s="8">
        <f>Raw_Data!B329</f>
        <v>45494</v>
      </c>
      <c r="C329" s="7" t="str">
        <f>TEXT(Raw_Data!B329,"MMM")</f>
        <v>Jul</v>
      </c>
      <c r="D329" s="7">
        <f>YEAR(Raw_Data!B329)</f>
        <v>2024</v>
      </c>
      <c r="E329" s="9" t="str">
        <f>Raw_Data!C329</f>
        <v>Rekha Patel</v>
      </c>
      <c r="F329" s="7" t="str">
        <f>Raw_Data!D329</f>
        <v>Hyderabad</v>
      </c>
      <c r="G329" s="9" t="str">
        <f>Raw_Data!E329</f>
        <v>Candid Cream</v>
      </c>
      <c r="H329" s="7" t="str">
        <f>Raw_Data!F329</f>
        <v>Cream</v>
      </c>
      <c r="I329" s="7">
        <f>Raw_Data!G329</f>
        <v>14</v>
      </c>
      <c r="J329" s="10">
        <f>Raw_Data!H329</f>
        <v>65</v>
      </c>
      <c r="K329" s="10">
        <f>Raw_Data!I329</f>
        <v>30.55</v>
      </c>
      <c r="L329" s="10">
        <f>Raw_Data!J329</f>
        <v>910</v>
      </c>
      <c r="M329" s="11">
        <f>Raw_Data!K329</f>
        <v>0</v>
      </c>
      <c r="N329" s="10">
        <f>Raw_Data!L329</f>
        <v>910</v>
      </c>
      <c r="O329" s="10">
        <f t="shared" si="10"/>
        <v>482.3</v>
      </c>
      <c r="P329" s="14">
        <f t="shared" si="11"/>
        <v>0.53</v>
      </c>
      <c r="Q329" s="7" t="str">
        <f>Raw_Data!M329</f>
        <v>Cash</v>
      </c>
      <c r="R329" s="7" t="str">
        <f>Raw_Data!N329</f>
        <v>No</v>
      </c>
    </row>
    <row r="330" spans="1:18" x14ac:dyDescent="0.25">
      <c r="A330" s="2" t="str">
        <f>Raw_Data!A330</f>
        <v>ORD-0329</v>
      </c>
      <c r="B330" s="3">
        <f>Raw_Data!B330</f>
        <v>45359</v>
      </c>
      <c r="C330" s="2" t="str">
        <f>TEXT(Raw_Data!B330,"MMM")</f>
        <v>Mar</v>
      </c>
      <c r="D330" s="2">
        <f>YEAR(Raw_Data!B330)</f>
        <v>2024</v>
      </c>
      <c r="E330" s="4" t="str">
        <f>Raw_Data!C330</f>
        <v>Sunita Mishra</v>
      </c>
      <c r="F330" s="2" t="str">
        <f>Raw_Data!D330</f>
        <v>Jaipur</v>
      </c>
      <c r="G330" s="4" t="str">
        <f>Raw_Data!E330</f>
        <v>Otrivin Nasal Drops</v>
      </c>
      <c r="H330" s="2" t="str">
        <f>Raw_Data!F330</f>
        <v>Drops</v>
      </c>
      <c r="I330" s="2">
        <f>Raw_Data!G330</f>
        <v>15</v>
      </c>
      <c r="J330" s="5">
        <f>Raw_Data!H330</f>
        <v>95</v>
      </c>
      <c r="K330" s="5">
        <f>Raw_Data!I330</f>
        <v>42.75</v>
      </c>
      <c r="L330" s="5">
        <f>Raw_Data!J330</f>
        <v>1425</v>
      </c>
      <c r="M330" s="6">
        <f>Raw_Data!K330</f>
        <v>0</v>
      </c>
      <c r="N330" s="5">
        <f>Raw_Data!L330</f>
        <v>1425</v>
      </c>
      <c r="O330" s="5">
        <f t="shared" si="10"/>
        <v>783.75</v>
      </c>
      <c r="P330" s="13">
        <f t="shared" si="11"/>
        <v>0.55000000000000004</v>
      </c>
      <c r="Q330" s="2" t="str">
        <f>Raw_Data!M330</f>
        <v>Card</v>
      </c>
      <c r="R330" s="2" t="str">
        <f>Raw_Data!N330</f>
        <v>Yes</v>
      </c>
    </row>
    <row r="331" spans="1:18" x14ac:dyDescent="0.25">
      <c r="A331" s="7" t="str">
        <f>Raw_Data!A331</f>
        <v>ORD-0330</v>
      </c>
      <c r="B331" s="8">
        <f>Raw_Data!B331</f>
        <v>45508</v>
      </c>
      <c r="C331" s="7" t="str">
        <f>TEXT(Raw_Data!B331,"MMM")</f>
        <v>Aug</v>
      </c>
      <c r="D331" s="7">
        <f>YEAR(Raw_Data!B331)</f>
        <v>2024</v>
      </c>
      <c r="E331" s="9" t="str">
        <f>Raw_Data!C331</f>
        <v>Sunita Patel</v>
      </c>
      <c r="F331" s="7" t="str">
        <f>Raw_Data!D331</f>
        <v>Ahmedabad</v>
      </c>
      <c r="G331" s="9" t="str">
        <f>Raw_Data!E331</f>
        <v>Betadine Cream</v>
      </c>
      <c r="H331" s="7" t="str">
        <f>Raw_Data!F331</f>
        <v>Cream</v>
      </c>
      <c r="I331" s="7">
        <f>Raw_Data!G331</f>
        <v>3</v>
      </c>
      <c r="J331" s="10">
        <f>Raw_Data!H331</f>
        <v>85</v>
      </c>
      <c r="K331" s="10">
        <f>Raw_Data!I331</f>
        <v>39.950000000000003</v>
      </c>
      <c r="L331" s="10">
        <f>Raw_Data!J331</f>
        <v>255</v>
      </c>
      <c r="M331" s="11">
        <f>Raw_Data!K331</f>
        <v>5</v>
      </c>
      <c r="N331" s="10">
        <f>Raw_Data!L331</f>
        <v>242.25</v>
      </c>
      <c r="O331" s="10">
        <f t="shared" si="10"/>
        <v>135.14999999999998</v>
      </c>
      <c r="P331" s="14">
        <f t="shared" si="11"/>
        <v>0.52999999999999992</v>
      </c>
      <c r="Q331" s="7" t="str">
        <f>Raw_Data!M331</f>
        <v>UPI</v>
      </c>
      <c r="R331" s="7" t="str">
        <f>Raw_Data!N331</f>
        <v>No</v>
      </c>
    </row>
    <row r="332" spans="1:18" x14ac:dyDescent="0.25">
      <c r="A332" s="2" t="str">
        <f>Raw_Data!A332</f>
        <v>ORD-0331</v>
      </c>
      <c r="B332" s="3">
        <f>Raw_Data!B332</f>
        <v>45452</v>
      </c>
      <c r="C332" s="2" t="str">
        <f>TEXT(Raw_Data!B332,"MMM")</f>
        <v>Jun</v>
      </c>
      <c r="D332" s="2">
        <f>YEAR(Raw_Data!B332)</f>
        <v>2024</v>
      </c>
      <c r="E332" s="4" t="str">
        <f>Raw_Data!C332</f>
        <v>Amit Verma</v>
      </c>
      <c r="F332" s="2" t="str">
        <f>Raw_Data!D332</f>
        <v>Bangalore</v>
      </c>
      <c r="G332" s="4" t="str">
        <f>Raw_Data!E332</f>
        <v>Dexamethasone Inj</v>
      </c>
      <c r="H332" s="2" t="str">
        <f>Raw_Data!F332</f>
        <v>Injection</v>
      </c>
      <c r="I332" s="2">
        <f>Raw_Data!G332</f>
        <v>13</v>
      </c>
      <c r="J332" s="5">
        <f>Raw_Data!H332</f>
        <v>95</v>
      </c>
      <c r="K332" s="5">
        <f>Raw_Data!I332</f>
        <v>57</v>
      </c>
      <c r="L332" s="5">
        <f>Raw_Data!J332</f>
        <v>1235</v>
      </c>
      <c r="M332" s="6">
        <f>Raw_Data!K332</f>
        <v>0</v>
      </c>
      <c r="N332" s="5">
        <f>Raw_Data!L332</f>
        <v>1235</v>
      </c>
      <c r="O332" s="5">
        <f t="shared" si="10"/>
        <v>494</v>
      </c>
      <c r="P332" s="13">
        <f t="shared" si="11"/>
        <v>0.4</v>
      </c>
      <c r="Q332" s="2" t="str">
        <f>Raw_Data!M332</f>
        <v>UPI</v>
      </c>
      <c r="R332" s="2" t="str">
        <f>Raw_Data!N332</f>
        <v>Yes</v>
      </c>
    </row>
    <row r="333" spans="1:18" x14ac:dyDescent="0.25">
      <c r="A333" s="7" t="str">
        <f>Raw_Data!A333</f>
        <v>ORD-0332</v>
      </c>
      <c r="B333" s="8">
        <f>Raw_Data!B333</f>
        <v>45580</v>
      </c>
      <c r="C333" s="7" t="str">
        <f>TEXT(Raw_Data!B333,"MMM")</f>
        <v>Oct</v>
      </c>
      <c r="D333" s="7">
        <f>YEAR(Raw_Data!B333)</f>
        <v>2024</v>
      </c>
      <c r="E333" s="9" t="str">
        <f>Raw_Data!C333</f>
        <v>Vikram Nair</v>
      </c>
      <c r="F333" s="7" t="str">
        <f>Raw_Data!D333</f>
        <v>Bangalore</v>
      </c>
      <c r="G333" s="9" t="str">
        <f>Raw_Data!E333</f>
        <v>Losartan 50mg</v>
      </c>
      <c r="H333" s="7" t="str">
        <f>Raw_Data!F333</f>
        <v>Tablet</v>
      </c>
      <c r="I333" s="7">
        <f>Raw_Data!G333</f>
        <v>15</v>
      </c>
      <c r="J333" s="10">
        <f>Raw_Data!H333</f>
        <v>95</v>
      </c>
      <c r="K333" s="10">
        <f>Raw_Data!I333</f>
        <v>49.4</v>
      </c>
      <c r="L333" s="10">
        <f>Raw_Data!J333</f>
        <v>1425</v>
      </c>
      <c r="M333" s="11">
        <f>Raw_Data!K333</f>
        <v>10</v>
      </c>
      <c r="N333" s="10">
        <f>Raw_Data!L333</f>
        <v>1282.5</v>
      </c>
      <c r="O333" s="10">
        <f t="shared" si="10"/>
        <v>684</v>
      </c>
      <c r="P333" s="14">
        <f t="shared" si="11"/>
        <v>0.48</v>
      </c>
      <c r="Q333" s="7" t="str">
        <f>Raw_Data!M333</f>
        <v>UPI</v>
      </c>
      <c r="R333" s="7" t="str">
        <f>Raw_Data!N333</f>
        <v>No</v>
      </c>
    </row>
    <row r="334" spans="1:18" x14ac:dyDescent="0.25">
      <c r="A334" s="2" t="str">
        <f>Raw_Data!A334</f>
        <v>ORD-0333</v>
      </c>
      <c r="B334" s="3">
        <f>Raw_Data!B334</f>
        <v>45502</v>
      </c>
      <c r="C334" s="2" t="str">
        <f>TEXT(Raw_Data!B334,"MMM")</f>
        <v>Jul</v>
      </c>
      <c r="D334" s="2">
        <f>YEAR(Raw_Data!B334)</f>
        <v>2024</v>
      </c>
      <c r="E334" s="4" t="str">
        <f>Raw_Data!C334</f>
        <v>Sunita Rao</v>
      </c>
      <c r="F334" s="2" t="str">
        <f>Raw_Data!D334</f>
        <v>Ahmedabad</v>
      </c>
      <c r="G334" s="4" t="str">
        <f>Raw_Data!E334</f>
        <v>Refresh Tears</v>
      </c>
      <c r="H334" s="2" t="str">
        <f>Raw_Data!F334</f>
        <v>Drops</v>
      </c>
      <c r="I334" s="2">
        <f>Raw_Data!G334</f>
        <v>7</v>
      </c>
      <c r="J334" s="5">
        <f>Raw_Data!H334</f>
        <v>110</v>
      </c>
      <c r="K334" s="5">
        <f>Raw_Data!I334</f>
        <v>49.5</v>
      </c>
      <c r="L334" s="5">
        <f>Raw_Data!J334</f>
        <v>770</v>
      </c>
      <c r="M334" s="6">
        <f>Raw_Data!K334</f>
        <v>0</v>
      </c>
      <c r="N334" s="5">
        <f>Raw_Data!L334</f>
        <v>770</v>
      </c>
      <c r="O334" s="5">
        <f t="shared" si="10"/>
        <v>423.5</v>
      </c>
      <c r="P334" s="13">
        <f t="shared" si="11"/>
        <v>0.55000000000000004</v>
      </c>
      <c r="Q334" s="2" t="str">
        <f>Raw_Data!M334</f>
        <v>Cash</v>
      </c>
      <c r="R334" s="2" t="str">
        <f>Raw_Data!N334</f>
        <v>No</v>
      </c>
    </row>
    <row r="335" spans="1:18" x14ac:dyDescent="0.25">
      <c r="A335" s="7" t="str">
        <f>Raw_Data!A335</f>
        <v>ORD-0334</v>
      </c>
      <c r="B335" s="8">
        <f>Raw_Data!B335</f>
        <v>45488</v>
      </c>
      <c r="C335" s="7" t="str">
        <f>TEXT(Raw_Data!B335,"MMM")</f>
        <v>Jul</v>
      </c>
      <c r="D335" s="7">
        <f>YEAR(Raw_Data!B335)</f>
        <v>2024</v>
      </c>
      <c r="E335" s="9" t="str">
        <f>Raw_Data!C335</f>
        <v>Swati Rao</v>
      </c>
      <c r="F335" s="7" t="str">
        <f>Raw_Data!D335</f>
        <v>Pune</v>
      </c>
      <c r="G335" s="9" t="str">
        <f>Raw_Data!E335</f>
        <v>Vitamin B12 Inj</v>
      </c>
      <c r="H335" s="7" t="str">
        <f>Raw_Data!F335</f>
        <v>Injection</v>
      </c>
      <c r="I335" s="7">
        <f>Raw_Data!G335</f>
        <v>5</v>
      </c>
      <c r="J335" s="10">
        <f>Raw_Data!H335</f>
        <v>60</v>
      </c>
      <c r="K335" s="10">
        <f>Raw_Data!I335</f>
        <v>36</v>
      </c>
      <c r="L335" s="10">
        <f>Raw_Data!J335</f>
        <v>300</v>
      </c>
      <c r="M335" s="11">
        <f>Raw_Data!K335</f>
        <v>5</v>
      </c>
      <c r="N335" s="10">
        <f>Raw_Data!L335</f>
        <v>285</v>
      </c>
      <c r="O335" s="10">
        <f t="shared" si="10"/>
        <v>120</v>
      </c>
      <c r="P335" s="14">
        <f t="shared" si="11"/>
        <v>0.4</v>
      </c>
      <c r="Q335" s="7" t="str">
        <f>Raw_Data!M335</f>
        <v>Cash</v>
      </c>
      <c r="R335" s="7" t="str">
        <f>Raw_Data!N335</f>
        <v>Yes</v>
      </c>
    </row>
    <row r="336" spans="1:18" x14ac:dyDescent="0.25">
      <c r="A336" s="2" t="str">
        <f>Raw_Data!A336</f>
        <v>ORD-0335</v>
      </c>
      <c r="B336" s="3">
        <f>Raw_Data!B336</f>
        <v>45599</v>
      </c>
      <c r="C336" s="2" t="str">
        <f>TEXT(Raw_Data!B336,"MMM")</f>
        <v>Nov</v>
      </c>
      <c r="D336" s="2">
        <f>YEAR(Raw_Data!B336)</f>
        <v>2024</v>
      </c>
      <c r="E336" s="4" t="str">
        <f>Raw_Data!C336</f>
        <v>Rohit Tiwari</v>
      </c>
      <c r="F336" s="2" t="str">
        <f>Raw_Data!D336</f>
        <v>Chennai</v>
      </c>
      <c r="G336" s="4" t="str">
        <f>Raw_Data!E336</f>
        <v>Soframycin Cream</v>
      </c>
      <c r="H336" s="2" t="str">
        <f>Raw_Data!F336</f>
        <v>Cream</v>
      </c>
      <c r="I336" s="2">
        <f>Raw_Data!G336</f>
        <v>1</v>
      </c>
      <c r="J336" s="5">
        <f>Raw_Data!H336</f>
        <v>72</v>
      </c>
      <c r="K336" s="5">
        <f>Raw_Data!I336</f>
        <v>33.840000000000003</v>
      </c>
      <c r="L336" s="5">
        <f>Raw_Data!J336</f>
        <v>72</v>
      </c>
      <c r="M336" s="6">
        <f>Raw_Data!K336</f>
        <v>5</v>
      </c>
      <c r="N336" s="5">
        <f>Raw_Data!L336</f>
        <v>68.400000000000006</v>
      </c>
      <c r="O336" s="5">
        <f t="shared" si="10"/>
        <v>38.159999999999997</v>
      </c>
      <c r="P336" s="13">
        <f t="shared" si="11"/>
        <v>0.52999999999999992</v>
      </c>
      <c r="Q336" s="2" t="str">
        <f>Raw_Data!M336</f>
        <v>UPI</v>
      </c>
      <c r="R336" s="2" t="str">
        <f>Raw_Data!N336</f>
        <v>Yes</v>
      </c>
    </row>
    <row r="337" spans="1:18" x14ac:dyDescent="0.25">
      <c r="A337" s="7" t="str">
        <f>Raw_Data!A337</f>
        <v>ORD-0336</v>
      </c>
      <c r="B337" s="8">
        <f>Raw_Data!B337</f>
        <v>45492</v>
      </c>
      <c r="C337" s="7" t="str">
        <f>TEXT(Raw_Data!B337,"MMM")</f>
        <v>Jul</v>
      </c>
      <c r="D337" s="7">
        <f>YEAR(Raw_Data!B337)</f>
        <v>2024</v>
      </c>
      <c r="E337" s="9" t="str">
        <f>Raw_Data!C337</f>
        <v>Nisha Patel</v>
      </c>
      <c r="F337" s="7" t="str">
        <f>Raw_Data!D337</f>
        <v>Hyderabad</v>
      </c>
      <c r="G337" s="9" t="str">
        <f>Raw_Data!E337</f>
        <v>Insulin Glargine</v>
      </c>
      <c r="H337" s="7" t="str">
        <f>Raw_Data!F337</f>
        <v>Injection</v>
      </c>
      <c r="I337" s="7">
        <f>Raw_Data!G337</f>
        <v>16</v>
      </c>
      <c r="J337" s="10">
        <f>Raw_Data!H337</f>
        <v>850</v>
      </c>
      <c r="K337" s="10">
        <f>Raw_Data!I337</f>
        <v>510</v>
      </c>
      <c r="L337" s="10">
        <f>Raw_Data!J337</f>
        <v>13600</v>
      </c>
      <c r="M337" s="11">
        <f>Raw_Data!K337</f>
        <v>10</v>
      </c>
      <c r="N337" s="10">
        <f>Raw_Data!L337</f>
        <v>12240</v>
      </c>
      <c r="O337" s="10">
        <f t="shared" si="10"/>
        <v>5440</v>
      </c>
      <c r="P337" s="14">
        <f t="shared" si="11"/>
        <v>0.4</v>
      </c>
      <c r="Q337" s="7" t="str">
        <f>Raw_Data!M337</f>
        <v>Card</v>
      </c>
      <c r="R337" s="7" t="str">
        <f>Raw_Data!N337</f>
        <v>Yes</v>
      </c>
    </row>
    <row r="338" spans="1:18" x14ac:dyDescent="0.25">
      <c r="A338" s="2" t="str">
        <f>Raw_Data!A338</f>
        <v>ORD-0337</v>
      </c>
      <c r="B338" s="3">
        <f>Raw_Data!B338</f>
        <v>45562</v>
      </c>
      <c r="C338" s="2" t="str">
        <f>TEXT(Raw_Data!B338,"MMM")</f>
        <v>Sep</v>
      </c>
      <c r="D338" s="2">
        <f>YEAR(Raw_Data!B338)</f>
        <v>2024</v>
      </c>
      <c r="E338" s="4" t="str">
        <f>Raw_Data!C338</f>
        <v>Meera Verma</v>
      </c>
      <c r="F338" s="2" t="str">
        <f>Raw_Data!D338</f>
        <v>Pune</v>
      </c>
      <c r="G338" s="4" t="str">
        <f>Raw_Data!E338</f>
        <v>Ibuprofen 400mg</v>
      </c>
      <c r="H338" s="2" t="str">
        <f>Raw_Data!F338</f>
        <v>Tablet</v>
      </c>
      <c r="I338" s="2">
        <f>Raw_Data!G338</f>
        <v>5</v>
      </c>
      <c r="J338" s="5">
        <f>Raw_Data!H338</f>
        <v>30</v>
      </c>
      <c r="K338" s="5">
        <f>Raw_Data!I338</f>
        <v>15.6</v>
      </c>
      <c r="L338" s="5">
        <f>Raw_Data!J338</f>
        <v>150</v>
      </c>
      <c r="M338" s="6">
        <f>Raw_Data!K338</f>
        <v>10</v>
      </c>
      <c r="N338" s="5">
        <f>Raw_Data!L338</f>
        <v>135</v>
      </c>
      <c r="O338" s="5">
        <f t="shared" si="10"/>
        <v>72</v>
      </c>
      <c r="P338" s="13">
        <f t="shared" si="11"/>
        <v>0.48</v>
      </c>
      <c r="Q338" s="2" t="str">
        <f>Raw_Data!M338</f>
        <v>Card</v>
      </c>
      <c r="R338" s="2" t="str">
        <f>Raw_Data!N338</f>
        <v>No</v>
      </c>
    </row>
    <row r="339" spans="1:18" x14ac:dyDescent="0.25">
      <c r="A339" s="7" t="str">
        <f>Raw_Data!A339</f>
        <v>ORD-0338</v>
      </c>
      <c r="B339" s="8">
        <f>Raw_Data!B339</f>
        <v>45641</v>
      </c>
      <c r="C339" s="7" t="str">
        <f>TEXT(Raw_Data!B339,"MMM")</f>
        <v>Dec</v>
      </c>
      <c r="D339" s="7">
        <f>YEAR(Raw_Data!B339)</f>
        <v>2024</v>
      </c>
      <c r="E339" s="9" t="str">
        <f>Raw_Data!C339</f>
        <v>Priya Dubey</v>
      </c>
      <c r="F339" s="7" t="str">
        <f>Raw_Data!D339</f>
        <v>Delhi</v>
      </c>
      <c r="G339" s="9" t="str">
        <f>Raw_Data!E339</f>
        <v>Cetirizine Syrup</v>
      </c>
      <c r="H339" s="7" t="str">
        <f>Raw_Data!F339</f>
        <v>Syrup</v>
      </c>
      <c r="I339" s="7">
        <f>Raw_Data!G339</f>
        <v>1</v>
      </c>
      <c r="J339" s="10">
        <f>Raw_Data!H339</f>
        <v>55</v>
      </c>
      <c r="K339" s="10">
        <f>Raw_Data!I339</f>
        <v>26.4</v>
      </c>
      <c r="L339" s="10">
        <f>Raw_Data!J339</f>
        <v>55</v>
      </c>
      <c r="M339" s="11">
        <f>Raw_Data!K339</f>
        <v>0</v>
      </c>
      <c r="N339" s="10">
        <f>Raw_Data!L339</f>
        <v>55</v>
      </c>
      <c r="O339" s="10">
        <f t="shared" si="10"/>
        <v>28.6</v>
      </c>
      <c r="P339" s="14">
        <f t="shared" si="11"/>
        <v>0.52</v>
      </c>
      <c r="Q339" s="7" t="str">
        <f>Raw_Data!M339</f>
        <v>Cash</v>
      </c>
      <c r="R339" s="7" t="str">
        <f>Raw_Data!N339</f>
        <v>Yes</v>
      </c>
    </row>
    <row r="340" spans="1:18" x14ac:dyDescent="0.25">
      <c r="A340" s="2" t="str">
        <f>Raw_Data!A340</f>
        <v>ORD-0339</v>
      </c>
      <c r="B340" s="3">
        <f>Raw_Data!B340</f>
        <v>45495</v>
      </c>
      <c r="C340" s="2" t="str">
        <f>TEXT(Raw_Data!B340,"MMM")</f>
        <v>Jul</v>
      </c>
      <c r="D340" s="2">
        <f>YEAR(Raw_Data!B340)</f>
        <v>2024</v>
      </c>
      <c r="E340" s="4" t="str">
        <f>Raw_Data!C340</f>
        <v>Swati Verma</v>
      </c>
      <c r="F340" s="2" t="str">
        <f>Raw_Data!D340</f>
        <v>Jaipur</v>
      </c>
      <c r="G340" s="4" t="str">
        <f>Raw_Data!E340</f>
        <v>Cipla Eye Drops</v>
      </c>
      <c r="H340" s="2" t="str">
        <f>Raw_Data!F340</f>
        <v>Drops</v>
      </c>
      <c r="I340" s="2">
        <f>Raw_Data!G340</f>
        <v>14</v>
      </c>
      <c r="J340" s="5">
        <f>Raw_Data!H340</f>
        <v>70</v>
      </c>
      <c r="K340" s="5">
        <f>Raw_Data!I340</f>
        <v>31.5</v>
      </c>
      <c r="L340" s="5">
        <f>Raw_Data!J340</f>
        <v>980</v>
      </c>
      <c r="M340" s="6">
        <f>Raw_Data!K340</f>
        <v>10</v>
      </c>
      <c r="N340" s="5">
        <f>Raw_Data!L340</f>
        <v>882</v>
      </c>
      <c r="O340" s="5">
        <f t="shared" si="10"/>
        <v>539</v>
      </c>
      <c r="P340" s="13">
        <f t="shared" si="11"/>
        <v>0.55000000000000004</v>
      </c>
      <c r="Q340" s="2" t="str">
        <f>Raw_Data!M340</f>
        <v>Cash</v>
      </c>
      <c r="R340" s="2" t="str">
        <f>Raw_Data!N340</f>
        <v>No</v>
      </c>
    </row>
    <row r="341" spans="1:18" x14ac:dyDescent="0.25">
      <c r="A341" s="7" t="str">
        <f>Raw_Data!A341</f>
        <v>ORD-0340</v>
      </c>
      <c r="B341" s="8">
        <f>Raw_Data!B341</f>
        <v>45607</v>
      </c>
      <c r="C341" s="7" t="str">
        <f>TEXT(Raw_Data!B341,"MMM")</f>
        <v>Nov</v>
      </c>
      <c r="D341" s="7">
        <f>YEAR(Raw_Data!B341)</f>
        <v>2024</v>
      </c>
      <c r="E341" s="9" t="str">
        <f>Raw_Data!C341</f>
        <v>Vikram Verma</v>
      </c>
      <c r="F341" s="7" t="str">
        <f>Raw_Data!D341</f>
        <v>Delhi</v>
      </c>
      <c r="G341" s="9" t="str">
        <f>Raw_Data!E341</f>
        <v>Paracetamol Syrup</v>
      </c>
      <c r="H341" s="7" t="str">
        <f>Raw_Data!F341</f>
        <v>Syrup</v>
      </c>
      <c r="I341" s="7">
        <f>Raw_Data!G341</f>
        <v>10</v>
      </c>
      <c r="J341" s="10">
        <f>Raw_Data!H341</f>
        <v>45</v>
      </c>
      <c r="K341" s="10">
        <f>Raw_Data!I341</f>
        <v>21.6</v>
      </c>
      <c r="L341" s="10">
        <f>Raw_Data!J341</f>
        <v>450</v>
      </c>
      <c r="M341" s="11">
        <f>Raw_Data!K341</f>
        <v>0</v>
      </c>
      <c r="N341" s="10">
        <f>Raw_Data!L341</f>
        <v>450</v>
      </c>
      <c r="O341" s="10">
        <f t="shared" si="10"/>
        <v>234</v>
      </c>
      <c r="P341" s="14">
        <f t="shared" si="11"/>
        <v>0.52</v>
      </c>
      <c r="Q341" s="7" t="str">
        <f>Raw_Data!M341</f>
        <v>Cash</v>
      </c>
      <c r="R341" s="7" t="str">
        <f>Raw_Data!N341</f>
        <v>No</v>
      </c>
    </row>
    <row r="342" spans="1:18" x14ac:dyDescent="0.25">
      <c r="A342" s="2" t="str">
        <f>Raw_Data!A342</f>
        <v>ORD-0341</v>
      </c>
      <c r="B342" s="3">
        <f>Raw_Data!B342</f>
        <v>45459</v>
      </c>
      <c r="C342" s="2" t="str">
        <f>TEXT(Raw_Data!B342,"MMM")</f>
        <v>Jun</v>
      </c>
      <c r="D342" s="2">
        <f>YEAR(Raw_Data!B342)</f>
        <v>2024</v>
      </c>
      <c r="E342" s="4" t="str">
        <f>Raw_Data!C342</f>
        <v>Pooja Patel</v>
      </c>
      <c r="F342" s="2" t="str">
        <f>Raw_Data!D342</f>
        <v>Chennai</v>
      </c>
      <c r="G342" s="4" t="str">
        <f>Raw_Data!E342</f>
        <v>Omeprazole 20mg</v>
      </c>
      <c r="H342" s="2" t="str">
        <f>Raw_Data!F342</f>
        <v>Capsule</v>
      </c>
      <c r="I342" s="2">
        <f>Raw_Data!G342</f>
        <v>14</v>
      </c>
      <c r="J342" s="5">
        <f>Raw_Data!H342</f>
        <v>40</v>
      </c>
      <c r="K342" s="5">
        <f>Raw_Data!I342</f>
        <v>20</v>
      </c>
      <c r="L342" s="5">
        <f>Raw_Data!J342</f>
        <v>560</v>
      </c>
      <c r="M342" s="6">
        <f>Raw_Data!K342</f>
        <v>5</v>
      </c>
      <c r="N342" s="5">
        <f>Raw_Data!L342</f>
        <v>532</v>
      </c>
      <c r="O342" s="5">
        <f t="shared" si="10"/>
        <v>280</v>
      </c>
      <c r="P342" s="13">
        <f t="shared" si="11"/>
        <v>0.5</v>
      </c>
      <c r="Q342" s="2" t="str">
        <f>Raw_Data!M342</f>
        <v>Cash</v>
      </c>
      <c r="R342" s="2" t="str">
        <f>Raw_Data!N342</f>
        <v>Yes</v>
      </c>
    </row>
    <row r="343" spans="1:18" x14ac:dyDescent="0.25">
      <c r="A343" s="7" t="str">
        <f>Raw_Data!A343</f>
        <v>ORD-0342</v>
      </c>
      <c r="B343" s="8">
        <f>Raw_Data!B343</f>
        <v>45524</v>
      </c>
      <c r="C343" s="7" t="str">
        <f>TEXT(Raw_Data!B343,"MMM")</f>
        <v>Aug</v>
      </c>
      <c r="D343" s="7">
        <f>YEAR(Raw_Data!B343)</f>
        <v>2024</v>
      </c>
      <c r="E343" s="9" t="str">
        <f>Raw_Data!C343</f>
        <v>Rahul Gupta</v>
      </c>
      <c r="F343" s="7" t="str">
        <f>Raw_Data!D343</f>
        <v>Mumbai</v>
      </c>
      <c r="G343" s="9" t="str">
        <f>Raw_Data!E343</f>
        <v>Refresh Tears</v>
      </c>
      <c r="H343" s="7" t="str">
        <f>Raw_Data!F343</f>
        <v>Drops</v>
      </c>
      <c r="I343" s="7">
        <f>Raw_Data!G343</f>
        <v>10</v>
      </c>
      <c r="J343" s="10">
        <f>Raw_Data!H343</f>
        <v>110</v>
      </c>
      <c r="K343" s="10">
        <f>Raw_Data!I343</f>
        <v>49.5</v>
      </c>
      <c r="L343" s="10">
        <f>Raw_Data!J343</f>
        <v>1100</v>
      </c>
      <c r="M343" s="11">
        <f>Raw_Data!K343</f>
        <v>0</v>
      </c>
      <c r="N343" s="10">
        <f>Raw_Data!L343</f>
        <v>1100</v>
      </c>
      <c r="O343" s="10">
        <f t="shared" si="10"/>
        <v>605</v>
      </c>
      <c r="P343" s="14">
        <f t="shared" si="11"/>
        <v>0.55000000000000004</v>
      </c>
      <c r="Q343" s="7" t="str">
        <f>Raw_Data!M343</f>
        <v>UPI</v>
      </c>
      <c r="R343" s="7" t="str">
        <f>Raw_Data!N343</f>
        <v>Yes</v>
      </c>
    </row>
    <row r="344" spans="1:18" x14ac:dyDescent="0.25">
      <c r="A344" s="2" t="str">
        <f>Raw_Data!A344</f>
        <v>ORD-0343</v>
      </c>
      <c r="B344" s="3">
        <f>Raw_Data!B344</f>
        <v>45546</v>
      </c>
      <c r="C344" s="2" t="str">
        <f>TEXT(Raw_Data!B344,"MMM")</f>
        <v>Sep</v>
      </c>
      <c r="D344" s="2">
        <f>YEAR(Raw_Data!B344)</f>
        <v>2024</v>
      </c>
      <c r="E344" s="4" t="str">
        <f>Raw_Data!C344</f>
        <v>Sunita Dubey</v>
      </c>
      <c r="F344" s="2" t="str">
        <f>Raw_Data!D344</f>
        <v>Bangalore</v>
      </c>
      <c r="G344" s="4" t="str">
        <f>Raw_Data!E344</f>
        <v>Dexamethasone Inj</v>
      </c>
      <c r="H344" s="2" t="str">
        <f>Raw_Data!F344</f>
        <v>Injection</v>
      </c>
      <c r="I344" s="2">
        <f>Raw_Data!G344</f>
        <v>12</v>
      </c>
      <c r="J344" s="5">
        <f>Raw_Data!H344</f>
        <v>95</v>
      </c>
      <c r="K344" s="5">
        <f>Raw_Data!I344</f>
        <v>57</v>
      </c>
      <c r="L344" s="5">
        <f>Raw_Data!J344</f>
        <v>1140</v>
      </c>
      <c r="M344" s="6">
        <f>Raw_Data!K344</f>
        <v>0</v>
      </c>
      <c r="N344" s="5">
        <f>Raw_Data!L344</f>
        <v>1140</v>
      </c>
      <c r="O344" s="5">
        <f t="shared" si="10"/>
        <v>456</v>
      </c>
      <c r="P344" s="13">
        <f t="shared" si="11"/>
        <v>0.4</v>
      </c>
      <c r="Q344" s="2" t="str">
        <f>Raw_Data!M344</f>
        <v>UPI</v>
      </c>
      <c r="R344" s="2" t="str">
        <f>Raw_Data!N344</f>
        <v>Yes</v>
      </c>
    </row>
    <row r="345" spans="1:18" x14ac:dyDescent="0.25">
      <c r="A345" s="7" t="str">
        <f>Raw_Data!A345</f>
        <v>ORD-0344</v>
      </c>
      <c r="B345" s="8">
        <f>Raw_Data!B345</f>
        <v>45307</v>
      </c>
      <c r="C345" s="7" t="str">
        <f>TEXT(Raw_Data!B345,"MMM")</f>
        <v>Jan</v>
      </c>
      <c r="D345" s="7">
        <f>YEAR(Raw_Data!B345)</f>
        <v>2024</v>
      </c>
      <c r="E345" s="9" t="str">
        <f>Raw_Data!C345</f>
        <v>Amit Shah</v>
      </c>
      <c r="F345" s="7" t="str">
        <f>Raw_Data!D345</f>
        <v>Chennai</v>
      </c>
      <c r="G345" s="9" t="str">
        <f>Raw_Data!E345</f>
        <v>Vitamin B12 Inj</v>
      </c>
      <c r="H345" s="7" t="str">
        <f>Raw_Data!F345</f>
        <v>Injection</v>
      </c>
      <c r="I345" s="7">
        <f>Raw_Data!G345</f>
        <v>17</v>
      </c>
      <c r="J345" s="10">
        <f>Raw_Data!H345</f>
        <v>60</v>
      </c>
      <c r="K345" s="10">
        <f>Raw_Data!I345</f>
        <v>36</v>
      </c>
      <c r="L345" s="10">
        <f>Raw_Data!J345</f>
        <v>1020</v>
      </c>
      <c r="M345" s="11">
        <f>Raw_Data!K345</f>
        <v>0</v>
      </c>
      <c r="N345" s="10">
        <f>Raw_Data!L345</f>
        <v>1020</v>
      </c>
      <c r="O345" s="10">
        <f t="shared" si="10"/>
        <v>408</v>
      </c>
      <c r="P345" s="14">
        <f t="shared" si="11"/>
        <v>0.4</v>
      </c>
      <c r="Q345" s="7" t="str">
        <f>Raw_Data!M345</f>
        <v>UPI</v>
      </c>
      <c r="R345" s="7" t="str">
        <f>Raw_Data!N345</f>
        <v>Yes</v>
      </c>
    </row>
    <row r="346" spans="1:18" x14ac:dyDescent="0.25">
      <c r="A346" s="2" t="str">
        <f>Raw_Data!A346</f>
        <v>ORD-0345</v>
      </c>
      <c r="B346" s="3">
        <f>Raw_Data!B346</f>
        <v>45525</v>
      </c>
      <c r="C346" s="2" t="str">
        <f>TEXT(Raw_Data!B346,"MMM")</f>
        <v>Aug</v>
      </c>
      <c r="D346" s="2">
        <f>YEAR(Raw_Data!B346)</f>
        <v>2024</v>
      </c>
      <c r="E346" s="4" t="str">
        <f>Raw_Data!C346</f>
        <v>Sunita Nair</v>
      </c>
      <c r="F346" s="2" t="str">
        <f>Raw_Data!D346</f>
        <v>Mumbai</v>
      </c>
      <c r="G346" s="4" t="str">
        <f>Raw_Data!E346</f>
        <v>Cipla Eye Drops</v>
      </c>
      <c r="H346" s="2" t="str">
        <f>Raw_Data!F346</f>
        <v>Drops</v>
      </c>
      <c r="I346" s="2">
        <f>Raw_Data!G346</f>
        <v>16</v>
      </c>
      <c r="J346" s="5">
        <f>Raw_Data!H346</f>
        <v>70</v>
      </c>
      <c r="K346" s="5">
        <f>Raw_Data!I346</f>
        <v>31.5</v>
      </c>
      <c r="L346" s="5">
        <f>Raw_Data!J346</f>
        <v>1120</v>
      </c>
      <c r="M346" s="6">
        <f>Raw_Data!K346</f>
        <v>0</v>
      </c>
      <c r="N346" s="5">
        <f>Raw_Data!L346</f>
        <v>1120</v>
      </c>
      <c r="O346" s="5">
        <f t="shared" si="10"/>
        <v>616</v>
      </c>
      <c r="P346" s="13">
        <f t="shared" si="11"/>
        <v>0.55000000000000004</v>
      </c>
      <c r="Q346" s="2" t="str">
        <f>Raw_Data!M346</f>
        <v>Cash</v>
      </c>
      <c r="R346" s="2" t="str">
        <f>Raw_Data!N346</f>
        <v>Yes</v>
      </c>
    </row>
    <row r="347" spans="1:18" x14ac:dyDescent="0.25">
      <c r="A347" s="7" t="str">
        <f>Raw_Data!A347</f>
        <v>ORD-0346</v>
      </c>
      <c r="B347" s="8">
        <f>Raw_Data!B347</f>
        <v>45585</v>
      </c>
      <c r="C347" s="7" t="str">
        <f>TEXT(Raw_Data!B347,"MMM")</f>
        <v>Oct</v>
      </c>
      <c r="D347" s="7">
        <f>YEAR(Raw_Data!B347)</f>
        <v>2024</v>
      </c>
      <c r="E347" s="9" t="str">
        <f>Raw_Data!C347</f>
        <v>Rahul Singh</v>
      </c>
      <c r="F347" s="7" t="str">
        <f>Raw_Data!D347</f>
        <v>Delhi</v>
      </c>
      <c r="G347" s="9" t="str">
        <f>Raw_Data!E347</f>
        <v>Soframycin Cream</v>
      </c>
      <c r="H347" s="7" t="str">
        <f>Raw_Data!F347</f>
        <v>Cream</v>
      </c>
      <c r="I347" s="7">
        <f>Raw_Data!G347</f>
        <v>8</v>
      </c>
      <c r="J347" s="10">
        <f>Raw_Data!H347</f>
        <v>72</v>
      </c>
      <c r="K347" s="10">
        <f>Raw_Data!I347</f>
        <v>33.840000000000003</v>
      </c>
      <c r="L347" s="10">
        <f>Raw_Data!J347</f>
        <v>576</v>
      </c>
      <c r="M347" s="11">
        <f>Raw_Data!K347</f>
        <v>20</v>
      </c>
      <c r="N347" s="10">
        <f>Raw_Data!L347</f>
        <v>460.8</v>
      </c>
      <c r="O347" s="10">
        <f t="shared" si="10"/>
        <v>305.27999999999997</v>
      </c>
      <c r="P347" s="14">
        <f t="shared" si="11"/>
        <v>0.52999999999999992</v>
      </c>
      <c r="Q347" s="7" t="str">
        <f>Raw_Data!M347</f>
        <v>UPI</v>
      </c>
      <c r="R347" s="7" t="str">
        <f>Raw_Data!N347</f>
        <v>Yes</v>
      </c>
    </row>
    <row r="348" spans="1:18" x14ac:dyDescent="0.25">
      <c r="A348" s="2" t="str">
        <f>Raw_Data!A348</f>
        <v>ORD-0347</v>
      </c>
      <c r="B348" s="3">
        <f>Raw_Data!B348</f>
        <v>45315</v>
      </c>
      <c r="C348" s="2" t="str">
        <f>TEXT(Raw_Data!B348,"MMM")</f>
        <v>Jan</v>
      </c>
      <c r="D348" s="2">
        <f>YEAR(Raw_Data!B348)</f>
        <v>2024</v>
      </c>
      <c r="E348" s="4" t="str">
        <f>Raw_Data!C348</f>
        <v>Swati Dubey</v>
      </c>
      <c r="F348" s="2" t="str">
        <f>Raw_Data!D348</f>
        <v>Kolkata</v>
      </c>
      <c r="G348" s="4" t="str">
        <f>Raw_Data!E348</f>
        <v>Fluconazole 150mg</v>
      </c>
      <c r="H348" s="2" t="str">
        <f>Raw_Data!F348</f>
        <v>Capsule</v>
      </c>
      <c r="I348" s="2">
        <f>Raw_Data!G348</f>
        <v>5</v>
      </c>
      <c r="J348" s="5">
        <f>Raw_Data!H348</f>
        <v>75</v>
      </c>
      <c r="K348" s="5">
        <f>Raw_Data!I348</f>
        <v>37.5</v>
      </c>
      <c r="L348" s="5">
        <f>Raw_Data!J348</f>
        <v>375</v>
      </c>
      <c r="M348" s="6">
        <f>Raw_Data!K348</f>
        <v>0</v>
      </c>
      <c r="N348" s="5">
        <f>Raw_Data!L348</f>
        <v>375</v>
      </c>
      <c r="O348" s="5">
        <f t="shared" si="10"/>
        <v>187.5</v>
      </c>
      <c r="P348" s="13">
        <f t="shared" si="11"/>
        <v>0.5</v>
      </c>
      <c r="Q348" s="2" t="str">
        <f>Raw_Data!M348</f>
        <v>UPI</v>
      </c>
      <c r="R348" s="2" t="str">
        <f>Raw_Data!N348</f>
        <v>No</v>
      </c>
    </row>
    <row r="349" spans="1:18" x14ac:dyDescent="0.25">
      <c r="A349" s="7" t="str">
        <f>Raw_Data!A349</f>
        <v>ORD-0348</v>
      </c>
      <c r="B349" s="8">
        <f>Raw_Data!B349</f>
        <v>45627</v>
      </c>
      <c r="C349" s="7" t="str">
        <f>TEXT(Raw_Data!B349,"MMM")</f>
        <v>Dec</v>
      </c>
      <c r="D349" s="7">
        <f>YEAR(Raw_Data!B349)</f>
        <v>2024</v>
      </c>
      <c r="E349" s="9" t="str">
        <f>Raw_Data!C349</f>
        <v>Amit Rao</v>
      </c>
      <c r="F349" s="7" t="str">
        <f>Raw_Data!D349</f>
        <v>Pune</v>
      </c>
      <c r="G349" s="9" t="str">
        <f>Raw_Data!E349</f>
        <v>Doxycycline 100mg</v>
      </c>
      <c r="H349" s="7" t="str">
        <f>Raw_Data!F349</f>
        <v>Capsule</v>
      </c>
      <c r="I349" s="7">
        <f>Raw_Data!G349</f>
        <v>8</v>
      </c>
      <c r="J349" s="10">
        <f>Raw_Data!H349</f>
        <v>90</v>
      </c>
      <c r="K349" s="10">
        <f>Raw_Data!I349</f>
        <v>45</v>
      </c>
      <c r="L349" s="10">
        <f>Raw_Data!J349</f>
        <v>720</v>
      </c>
      <c r="M349" s="11">
        <f>Raw_Data!K349</f>
        <v>10</v>
      </c>
      <c r="N349" s="10">
        <f>Raw_Data!L349</f>
        <v>648</v>
      </c>
      <c r="O349" s="10">
        <f t="shared" si="10"/>
        <v>360</v>
      </c>
      <c r="P349" s="14">
        <f t="shared" si="11"/>
        <v>0.5</v>
      </c>
      <c r="Q349" s="7" t="str">
        <f>Raw_Data!M349</f>
        <v>Card</v>
      </c>
      <c r="R349" s="7" t="str">
        <f>Raw_Data!N349</f>
        <v>No</v>
      </c>
    </row>
    <row r="350" spans="1:18" x14ac:dyDescent="0.25">
      <c r="A350" s="2" t="str">
        <f>Raw_Data!A350</f>
        <v>ORD-0349</v>
      </c>
      <c r="B350" s="3">
        <f>Raw_Data!B350</f>
        <v>45482</v>
      </c>
      <c r="C350" s="2" t="str">
        <f>TEXT(Raw_Data!B350,"MMM")</f>
        <v>Jul</v>
      </c>
      <c r="D350" s="2">
        <f>YEAR(Raw_Data!B350)</f>
        <v>2024</v>
      </c>
      <c r="E350" s="4" t="str">
        <f>Raw_Data!C350</f>
        <v>Nikhil Patel</v>
      </c>
      <c r="F350" s="2" t="str">
        <f>Raw_Data!D350</f>
        <v>Mumbai</v>
      </c>
      <c r="G350" s="4" t="str">
        <f>Raw_Data!E350</f>
        <v>Azithromycin 500mg</v>
      </c>
      <c r="H350" s="2" t="str">
        <f>Raw_Data!F350</f>
        <v>Tablet</v>
      </c>
      <c r="I350" s="2">
        <f>Raw_Data!G350</f>
        <v>6</v>
      </c>
      <c r="J350" s="5">
        <f>Raw_Data!H350</f>
        <v>150</v>
      </c>
      <c r="K350" s="5">
        <f>Raw_Data!I350</f>
        <v>78</v>
      </c>
      <c r="L350" s="5">
        <f>Raw_Data!J350</f>
        <v>900</v>
      </c>
      <c r="M350" s="6">
        <f>Raw_Data!K350</f>
        <v>5</v>
      </c>
      <c r="N350" s="5">
        <f>Raw_Data!L350</f>
        <v>855</v>
      </c>
      <c r="O350" s="5">
        <f t="shared" si="10"/>
        <v>432</v>
      </c>
      <c r="P350" s="13">
        <f t="shared" si="11"/>
        <v>0.48</v>
      </c>
      <c r="Q350" s="2" t="str">
        <f>Raw_Data!M350</f>
        <v>UPI</v>
      </c>
      <c r="R350" s="2" t="str">
        <f>Raw_Data!N350</f>
        <v>No</v>
      </c>
    </row>
    <row r="351" spans="1:18" x14ac:dyDescent="0.25">
      <c r="A351" s="7" t="str">
        <f>Raw_Data!A351</f>
        <v>ORD-0350</v>
      </c>
      <c r="B351" s="8">
        <f>Raw_Data!B351</f>
        <v>45530</v>
      </c>
      <c r="C351" s="7" t="str">
        <f>TEXT(Raw_Data!B351,"MMM")</f>
        <v>Aug</v>
      </c>
      <c r="D351" s="7">
        <f>YEAR(Raw_Data!B351)</f>
        <v>2024</v>
      </c>
      <c r="E351" s="9" t="str">
        <f>Raw_Data!C351</f>
        <v>Rohit Kumar</v>
      </c>
      <c r="F351" s="7" t="str">
        <f>Raw_Data!D351</f>
        <v>Chennai</v>
      </c>
      <c r="G351" s="9" t="str">
        <f>Raw_Data!E351</f>
        <v>Protein Supplement</v>
      </c>
      <c r="H351" s="7" t="str">
        <f>Raw_Data!F351</f>
        <v>Powder</v>
      </c>
      <c r="I351" s="7">
        <f>Raw_Data!G351</f>
        <v>11</v>
      </c>
      <c r="J351" s="10">
        <f>Raw_Data!H351</f>
        <v>450</v>
      </c>
      <c r="K351" s="10">
        <f>Raw_Data!I351</f>
        <v>247.5</v>
      </c>
      <c r="L351" s="10">
        <f>Raw_Data!J351</f>
        <v>4950</v>
      </c>
      <c r="M351" s="11">
        <f>Raw_Data!K351</f>
        <v>0</v>
      </c>
      <c r="N351" s="10">
        <f>Raw_Data!L351</f>
        <v>4950</v>
      </c>
      <c r="O351" s="10">
        <f t="shared" si="10"/>
        <v>2227.5</v>
      </c>
      <c r="P351" s="14">
        <f t="shared" si="11"/>
        <v>0.45</v>
      </c>
      <c r="Q351" s="7" t="str">
        <f>Raw_Data!M351</f>
        <v>Cash</v>
      </c>
      <c r="R351" s="7" t="str">
        <f>Raw_Data!N351</f>
        <v>No</v>
      </c>
    </row>
    <row r="352" spans="1:18" x14ac:dyDescent="0.25">
      <c r="A352" s="2" t="str">
        <f>Raw_Data!A352</f>
        <v>ORD-0351</v>
      </c>
      <c r="B352" s="3">
        <f>Raw_Data!B352</f>
        <v>45580</v>
      </c>
      <c r="C352" s="2" t="str">
        <f>TEXT(Raw_Data!B352,"MMM")</f>
        <v>Oct</v>
      </c>
      <c r="D352" s="2">
        <f>YEAR(Raw_Data!B352)</f>
        <v>2024</v>
      </c>
      <c r="E352" s="4" t="str">
        <f>Raw_Data!C352</f>
        <v>Rohit Tiwari</v>
      </c>
      <c r="F352" s="2" t="str">
        <f>Raw_Data!D352</f>
        <v>Surat</v>
      </c>
      <c r="G352" s="4" t="str">
        <f>Raw_Data!E352</f>
        <v>Protein Supplement</v>
      </c>
      <c r="H352" s="2" t="str">
        <f>Raw_Data!F352</f>
        <v>Powder</v>
      </c>
      <c r="I352" s="2">
        <f>Raw_Data!G352</f>
        <v>8</v>
      </c>
      <c r="J352" s="5">
        <f>Raw_Data!H352</f>
        <v>450</v>
      </c>
      <c r="K352" s="5">
        <f>Raw_Data!I352</f>
        <v>247.5</v>
      </c>
      <c r="L352" s="5">
        <f>Raw_Data!J352</f>
        <v>3600</v>
      </c>
      <c r="M352" s="6">
        <f>Raw_Data!K352</f>
        <v>15</v>
      </c>
      <c r="N352" s="5">
        <f>Raw_Data!L352</f>
        <v>3060</v>
      </c>
      <c r="O352" s="5">
        <f t="shared" si="10"/>
        <v>1620</v>
      </c>
      <c r="P352" s="13">
        <f t="shared" si="11"/>
        <v>0.45</v>
      </c>
      <c r="Q352" s="2" t="str">
        <f>Raw_Data!M352</f>
        <v>UPI</v>
      </c>
      <c r="R352" s="2" t="str">
        <f>Raw_Data!N352</f>
        <v>No</v>
      </c>
    </row>
    <row r="353" spans="1:18" x14ac:dyDescent="0.25">
      <c r="A353" s="7" t="str">
        <f>Raw_Data!A353</f>
        <v>ORD-0352</v>
      </c>
      <c r="B353" s="8">
        <f>Raw_Data!B353</f>
        <v>45571</v>
      </c>
      <c r="C353" s="7" t="str">
        <f>TEXT(Raw_Data!B353,"MMM")</f>
        <v>Oct</v>
      </c>
      <c r="D353" s="7">
        <f>YEAR(Raw_Data!B353)</f>
        <v>2024</v>
      </c>
      <c r="E353" s="9" t="str">
        <f>Raw_Data!C353</f>
        <v>Rahul Joshi</v>
      </c>
      <c r="F353" s="7" t="str">
        <f>Raw_Data!D353</f>
        <v>Bangalore</v>
      </c>
      <c r="G353" s="9" t="str">
        <f>Raw_Data!E353</f>
        <v>ORS Electrolyte</v>
      </c>
      <c r="H353" s="7" t="str">
        <f>Raw_Data!F353</f>
        <v>Powder</v>
      </c>
      <c r="I353" s="7">
        <f>Raw_Data!G353</f>
        <v>1</v>
      </c>
      <c r="J353" s="10">
        <f>Raw_Data!H353</f>
        <v>30</v>
      </c>
      <c r="K353" s="10">
        <f>Raw_Data!I353</f>
        <v>16.5</v>
      </c>
      <c r="L353" s="10">
        <f>Raw_Data!J353</f>
        <v>30</v>
      </c>
      <c r="M353" s="11">
        <f>Raw_Data!K353</f>
        <v>10</v>
      </c>
      <c r="N353" s="10">
        <f>Raw_Data!L353</f>
        <v>27</v>
      </c>
      <c r="O353" s="10">
        <f t="shared" si="10"/>
        <v>13.5</v>
      </c>
      <c r="P353" s="14">
        <f t="shared" si="11"/>
        <v>0.45</v>
      </c>
      <c r="Q353" s="7" t="str">
        <f>Raw_Data!M353</f>
        <v>Card</v>
      </c>
      <c r="R353" s="7" t="str">
        <f>Raw_Data!N353</f>
        <v>Yes</v>
      </c>
    </row>
    <row r="354" spans="1:18" x14ac:dyDescent="0.25">
      <c r="A354" s="2" t="str">
        <f>Raw_Data!A354</f>
        <v>ORD-0353</v>
      </c>
      <c r="B354" s="3">
        <f>Raw_Data!B354</f>
        <v>45292</v>
      </c>
      <c r="C354" s="2" t="str">
        <f>TEXT(Raw_Data!B354,"MMM")</f>
        <v>Jan</v>
      </c>
      <c r="D354" s="2">
        <f>YEAR(Raw_Data!B354)</f>
        <v>2024</v>
      </c>
      <c r="E354" s="4" t="str">
        <f>Raw_Data!C354</f>
        <v>Pooja Shah</v>
      </c>
      <c r="F354" s="2" t="str">
        <f>Raw_Data!D354</f>
        <v>Kolkata</v>
      </c>
      <c r="G354" s="4" t="str">
        <f>Raw_Data!E354</f>
        <v>Antifungal Powder</v>
      </c>
      <c r="H354" s="2" t="str">
        <f>Raw_Data!F354</f>
        <v>Powder</v>
      </c>
      <c r="I354" s="2">
        <f>Raw_Data!G354</f>
        <v>10</v>
      </c>
      <c r="J354" s="5">
        <f>Raw_Data!H354</f>
        <v>55</v>
      </c>
      <c r="K354" s="5">
        <f>Raw_Data!I354</f>
        <v>30.25</v>
      </c>
      <c r="L354" s="5">
        <f>Raw_Data!J354</f>
        <v>550</v>
      </c>
      <c r="M354" s="6">
        <f>Raw_Data!K354</f>
        <v>0</v>
      </c>
      <c r="N354" s="5">
        <f>Raw_Data!L354</f>
        <v>550</v>
      </c>
      <c r="O354" s="5">
        <f t="shared" si="10"/>
        <v>247.5</v>
      </c>
      <c r="P354" s="13">
        <f t="shared" si="11"/>
        <v>0.45</v>
      </c>
      <c r="Q354" s="2" t="str">
        <f>Raw_Data!M354</f>
        <v>UPI</v>
      </c>
      <c r="R354" s="2" t="str">
        <f>Raw_Data!N354</f>
        <v>No</v>
      </c>
    </row>
    <row r="355" spans="1:18" x14ac:dyDescent="0.25">
      <c r="A355" s="7" t="str">
        <f>Raw_Data!A355</f>
        <v>ORD-0354</v>
      </c>
      <c r="B355" s="8">
        <f>Raw_Data!B355</f>
        <v>45322</v>
      </c>
      <c r="C355" s="7" t="str">
        <f>TEXT(Raw_Data!B355,"MMM")</f>
        <v>Jan</v>
      </c>
      <c r="D355" s="7">
        <f>YEAR(Raw_Data!B355)</f>
        <v>2024</v>
      </c>
      <c r="E355" s="9" t="str">
        <f>Raw_Data!C355</f>
        <v>Meera Shah</v>
      </c>
      <c r="F355" s="7" t="str">
        <f>Raw_Data!D355</f>
        <v>Delhi</v>
      </c>
      <c r="G355" s="9" t="str">
        <f>Raw_Data!E355</f>
        <v>Paracetamol Syrup</v>
      </c>
      <c r="H355" s="7" t="str">
        <f>Raw_Data!F355</f>
        <v>Syrup</v>
      </c>
      <c r="I355" s="7">
        <f>Raw_Data!G355</f>
        <v>2</v>
      </c>
      <c r="J355" s="10">
        <f>Raw_Data!H355</f>
        <v>45</v>
      </c>
      <c r="K355" s="10">
        <f>Raw_Data!I355</f>
        <v>21.6</v>
      </c>
      <c r="L355" s="10">
        <f>Raw_Data!J355</f>
        <v>90</v>
      </c>
      <c r="M355" s="11">
        <f>Raw_Data!K355</f>
        <v>5</v>
      </c>
      <c r="N355" s="10">
        <f>Raw_Data!L355</f>
        <v>85.5</v>
      </c>
      <c r="O355" s="10">
        <f t="shared" si="10"/>
        <v>46.8</v>
      </c>
      <c r="P355" s="14">
        <f t="shared" si="11"/>
        <v>0.52</v>
      </c>
      <c r="Q355" s="7" t="str">
        <f>Raw_Data!M355</f>
        <v>Card</v>
      </c>
      <c r="R355" s="7" t="str">
        <f>Raw_Data!N355</f>
        <v>No</v>
      </c>
    </row>
    <row r="356" spans="1:18" x14ac:dyDescent="0.25">
      <c r="A356" s="2" t="str">
        <f>Raw_Data!A356</f>
        <v>ORD-0355</v>
      </c>
      <c r="B356" s="3">
        <f>Raw_Data!B356</f>
        <v>45335</v>
      </c>
      <c r="C356" s="2" t="str">
        <f>TEXT(Raw_Data!B356,"MMM")</f>
        <v>Feb</v>
      </c>
      <c r="D356" s="2">
        <f>YEAR(Raw_Data!B356)</f>
        <v>2024</v>
      </c>
      <c r="E356" s="4" t="str">
        <f>Raw_Data!C356</f>
        <v>Pooja Agarwal</v>
      </c>
      <c r="F356" s="2" t="str">
        <f>Raw_Data!D356</f>
        <v>Jaipur</v>
      </c>
      <c r="G356" s="4" t="str">
        <f>Raw_Data!E356</f>
        <v>Otrivin Nasal Drops</v>
      </c>
      <c r="H356" s="2" t="str">
        <f>Raw_Data!F356</f>
        <v>Drops</v>
      </c>
      <c r="I356" s="2">
        <f>Raw_Data!G356</f>
        <v>5</v>
      </c>
      <c r="J356" s="5">
        <f>Raw_Data!H356</f>
        <v>95</v>
      </c>
      <c r="K356" s="5">
        <f>Raw_Data!I356</f>
        <v>42.75</v>
      </c>
      <c r="L356" s="5">
        <f>Raw_Data!J356</f>
        <v>475</v>
      </c>
      <c r="M356" s="6">
        <f>Raw_Data!K356</f>
        <v>10</v>
      </c>
      <c r="N356" s="5">
        <f>Raw_Data!L356</f>
        <v>427.5</v>
      </c>
      <c r="O356" s="5">
        <f t="shared" si="10"/>
        <v>261.25</v>
      </c>
      <c r="P356" s="13">
        <f t="shared" si="11"/>
        <v>0.55000000000000004</v>
      </c>
      <c r="Q356" s="2" t="str">
        <f>Raw_Data!M356</f>
        <v>Card</v>
      </c>
      <c r="R356" s="2" t="str">
        <f>Raw_Data!N356</f>
        <v>Yes</v>
      </c>
    </row>
    <row r="357" spans="1:18" x14ac:dyDescent="0.25">
      <c r="A357" s="7" t="str">
        <f>Raw_Data!A357</f>
        <v>ORD-0356</v>
      </c>
      <c r="B357" s="8">
        <f>Raw_Data!B357</f>
        <v>45358</v>
      </c>
      <c r="C357" s="7" t="str">
        <f>TEXT(Raw_Data!B357,"MMM")</f>
        <v>Mar</v>
      </c>
      <c r="D357" s="7">
        <f>YEAR(Raw_Data!B357)</f>
        <v>2024</v>
      </c>
      <c r="E357" s="9" t="str">
        <f>Raw_Data!C357</f>
        <v>Arjun Shah</v>
      </c>
      <c r="F357" s="7" t="str">
        <f>Raw_Data!D357</f>
        <v>Chennai</v>
      </c>
      <c r="G357" s="9" t="str">
        <f>Raw_Data!E357</f>
        <v>Paracetamol Syrup</v>
      </c>
      <c r="H357" s="7" t="str">
        <f>Raw_Data!F357</f>
        <v>Syrup</v>
      </c>
      <c r="I357" s="7">
        <f>Raw_Data!G357</f>
        <v>11</v>
      </c>
      <c r="J357" s="10">
        <f>Raw_Data!H357</f>
        <v>45</v>
      </c>
      <c r="K357" s="10">
        <f>Raw_Data!I357</f>
        <v>21.6</v>
      </c>
      <c r="L357" s="10">
        <f>Raw_Data!J357</f>
        <v>495</v>
      </c>
      <c r="M357" s="11">
        <f>Raw_Data!K357</f>
        <v>10</v>
      </c>
      <c r="N357" s="10">
        <f>Raw_Data!L357</f>
        <v>445.5</v>
      </c>
      <c r="O357" s="10">
        <f t="shared" si="10"/>
        <v>257.39999999999998</v>
      </c>
      <c r="P357" s="14">
        <f t="shared" si="11"/>
        <v>0.51999999999999991</v>
      </c>
      <c r="Q357" s="7" t="str">
        <f>Raw_Data!M357</f>
        <v>UPI</v>
      </c>
      <c r="R357" s="7" t="str">
        <f>Raw_Data!N357</f>
        <v>No</v>
      </c>
    </row>
    <row r="358" spans="1:18" x14ac:dyDescent="0.25">
      <c r="A358" s="2" t="str">
        <f>Raw_Data!A358</f>
        <v>ORD-0357</v>
      </c>
      <c r="B358" s="3">
        <f>Raw_Data!B358</f>
        <v>45431</v>
      </c>
      <c r="C358" s="2" t="str">
        <f>TEXT(Raw_Data!B358,"MMM")</f>
        <v>May</v>
      </c>
      <c r="D358" s="2">
        <f>YEAR(Raw_Data!B358)</f>
        <v>2024</v>
      </c>
      <c r="E358" s="4" t="str">
        <f>Raw_Data!C358</f>
        <v>Sanjay Joshi</v>
      </c>
      <c r="F358" s="2" t="str">
        <f>Raw_Data!D358</f>
        <v>Hyderabad</v>
      </c>
      <c r="G358" s="4" t="str">
        <f>Raw_Data!E358</f>
        <v>Benadryl Cough Syrup</v>
      </c>
      <c r="H358" s="2" t="str">
        <f>Raw_Data!F358</f>
        <v>Syrup</v>
      </c>
      <c r="I358" s="2">
        <f>Raw_Data!G358</f>
        <v>5</v>
      </c>
      <c r="J358" s="5">
        <f>Raw_Data!H358</f>
        <v>110</v>
      </c>
      <c r="K358" s="5">
        <f>Raw_Data!I358</f>
        <v>52.8</v>
      </c>
      <c r="L358" s="5">
        <f>Raw_Data!J358</f>
        <v>550</v>
      </c>
      <c r="M358" s="6">
        <f>Raw_Data!K358</f>
        <v>0</v>
      </c>
      <c r="N358" s="5">
        <f>Raw_Data!L358</f>
        <v>550</v>
      </c>
      <c r="O358" s="5">
        <f t="shared" si="10"/>
        <v>286</v>
      </c>
      <c r="P358" s="13">
        <f t="shared" si="11"/>
        <v>0.52</v>
      </c>
      <c r="Q358" s="2" t="str">
        <f>Raw_Data!M358</f>
        <v>Cash</v>
      </c>
      <c r="R358" s="2" t="str">
        <f>Raw_Data!N358</f>
        <v>Yes</v>
      </c>
    </row>
    <row r="359" spans="1:18" x14ac:dyDescent="0.25">
      <c r="A359" s="7" t="str">
        <f>Raw_Data!A359</f>
        <v>ORD-0358</v>
      </c>
      <c r="B359" s="8">
        <f>Raw_Data!B359</f>
        <v>45500</v>
      </c>
      <c r="C359" s="7" t="str">
        <f>TEXT(Raw_Data!B359,"MMM")</f>
        <v>Jul</v>
      </c>
      <c r="D359" s="7">
        <f>YEAR(Raw_Data!B359)</f>
        <v>2024</v>
      </c>
      <c r="E359" s="9" t="str">
        <f>Raw_Data!C359</f>
        <v>Sunita Patel</v>
      </c>
      <c r="F359" s="7" t="str">
        <f>Raw_Data!D359</f>
        <v>Pune</v>
      </c>
      <c r="G359" s="9" t="str">
        <f>Raw_Data!E359</f>
        <v>Azithromycin 500mg</v>
      </c>
      <c r="H359" s="7" t="str">
        <f>Raw_Data!F359</f>
        <v>Tablet</v>
      </c>
      <c r="I359" s="7">
        <f>Raw_Data!G359</f>
        <v>7</v>
      </c>
      <c r="J359" s="10">
        <f>Raw_Data!H359</f>
        <v>150</v>
      </c>
      <c r="K359" s="10">
        <f>Raw_Data!I359</f>
        <v>78</v>
      </c>
      <c r="L359" s="10">
        <f>Raw_Data!J359</f>
        <v>1050</v>
      </c>
      <c r="M359" s="11">
        <f>Raw_Data!K359</f>
        <v>15</v>
      </c>
      <c r="N359" s="10">
        <f>Raw_Data!L359</f>
        <v>892.5</v>
      </c>
      <c r="O359" s="10">
        <f t="shared" si="10"/>
        <v>504</v>
      </c>
      <c r="P359" s="14">
        <f t="shared" si="11"/>
        <v>0.48</v>
      </c>
      <c r="Q359" s="7" t="str">
        <f>Raw_Data!M359</f>
        <v>Cash</v>
      </c>
      <c r="R359" s="7" t="str">
        <f>Raw_Data!N359</f>
        <v>Yes</v>
      </c>
    </row>
    <row r="360" spans="1:18" x14ac:dyDescent="0.25">
      <c r="A360" s="2" t="str">
        <f>Raw_Data!A360</f>
        <v>ORD-0359</v>
      </c>
      <c r="B360" s="3">
        <f>Raw_Data!B360</f>
        <v>45372</v>
      </c>
      <c r="C360" s="2" t="str">
        <f>TEXT(Raw_Data!B360,"MMM")</f>
        <v>Mar</v>
      </c>
      <c r="D360" s="2">
        <f>YEAR(Raw_Data!B360)</f>
        <v>2024</v>
      </c>
      <c r="E360" s="4" t="str">
        <f>Raw_Data!C360</f>
        <v>Vikram Patel</v>
      </c>
      <c r="F360" s="2" t="str">
        <f>Raw_Data!D360</f>
        <v>Chennai</v>
      </c>
      <c r="G360" s="4" t="str">
        <f>Raw_Data!E360</f>
        <v>Antifungal Powder</v>
      </c>
      <c r="H360" s="2" t="str">
        <f>Raw_Data!F360</f>
        <v>Powder</v>
      </c>
      <c r="I360" s="2">
        <f>Raw_Data!G360</f>
        <v>20</v>
      </c>
      <c r="J360" s="5">
        <f>Raw_Data!H360</f>
        <v>55</v>
      </c>
      <c r="K360" s="5">
        <f>Raw_Data!I360</f>
        <v>30.25</v>
      </c>
      <c r="L360" s="5">
        <f>Raw_Data!J360</f>
        <v>1100</v>
      </c>
      <c r="M360" s="6">
        <f>Raw_Data!K360</f>
        <v>0</v>
      </c>
      <c r="N360" s="5">
        <f>Raw_Data!L360</f>
        <v>1100</v>
      </c>
      <c r="O360" s="5">
        <f t="shared" si="10"/>
        <v>495</v>
      </c>
      <c r="P360" s="13">
        <f t="shared" si="11"/>
        <v>0.45</v>
      </c>
      <c r="Q360" s="2" t="str">
        <f>Raw_Data!M360</f>
        <v>UPI</v>
      </c>
      <c r="R360" s="2" t="str">
        <f>Raw_Data!N360</f>
        <v>No</v>
      </c>
    </row>
    <row r="361" spans="1:18" x14ac:dyDescent="0.25">
      <c r="A361" s="7" t="str">
        <f>Raw_Data!A361</f>
        <v>ORD-0360</v>
      </c>
      <c r="B361" s="8">
        <f>Raw_Data!B361</f>
        <v>45656</v>
      </c>
      <c r="C361" s="7" t="str">
        <f>TEXT(Raw_Data!B361,"MMM")</f>
        <v>Dec</v>
      </c>
      <c r="D361" s="7">
        <f>YEAR(Raw_Data!B361)</f>
        <v>2024</v>
      </c>
      <c r="E361" s="9" t="str">
        <f>Raw_Data!C361</f>
        <v>Anjali Sharma</v>
      </c>
      <c r="F361" s="7" t="str">
        <f>Raw_Data!D361</f>
        <v>Kolkata</v>
      </c>
      <c r="G361" s="9" t="str">
        <f>Raw_Data!E361</f>
        <v>Paracetamol Syrup</v>
      </c>
      <c r="H361" s="7" t="str">
        <f>Raw_Data!F361</f>
        <v>Syrup</v>
      </c>
      <c r="I361" s="7">
        <f>Raw_Data!G361</f>
        <v>17</v>
      </c>
      <c r="J361" s="10">
        <f>Raw_Data!H361</f>
        <v>45</v>
      </c>
      <c r="K361" s="10">
        <f>Raw_Data!I361</f>
        <v>21.6</v>
      </c>
      <c r="L361" s="10">
        <f>Raw_Data!J361</f>
        <v>765</v>
      </c>
      <c r="M361" s="11">
        <f>Raw_Data!K361</f>
        <v>0</v>
      </c>
      <c r="N361" s="10">
        <f>Raw_Data!L361</f>
        <v>765</v>
      </c>
      <c r="O361" s="10">
        <f t="shared" si="10"/>
        <v>397.79999999999995</v>
      </c>
      <c r="P361" s="14">
        <f t="shared" si="11"/>
        <v>0.51999999999999991</v>
      </c>
      <c r="Q361" s="7" t="str">
        <f>Raw_Data!M361</f>
        <v>Cash</v>
      </c>
      <c r="R361" s="7" t="str">
        <f>Raw_Data!N361</f>
        <v>No</v>
      </c>
    </row>
    <row r="362" spans="1:18" x14ac:dyDescent="0.25">
      <c r="A362" s="2" t="str">
        <f>Raw_Data!A362</f>
        <v>ORD-0361</v>
      </c>
      <c r="B362" s="3">
        <f>Raw_Data!B362</f>
        <v>45499</v>
      </c>
      <c r="C362" s="2" t="str">
        <f>TEXT(Raw_Data!B362,"MMM")</f>
        <v>Jul</v>
      </c>
      <c r="D362" s="2">
        <f>YEAR(Raw_Data!B362)</f>
        <v>2024</v>
      </c>
      <c r="E362" s="4" t="str">
        <f>Raw_Data!C362</f>
        <v>Vikram Patel</v>
      </c>
      <c r="F362" s="2" t="str">
        <f>Raw_Data!D362</f>
        <v>Jaipur</v>
      </c>
      <c r="G362" s="4" t="str">
        <f>Raw_Data!E362</f>
        <v>Protein Supplement</v>
      </c>
      <c r="H362" s="2" t="str">
        <f>Raw_Data!F362</f>
        <v>Powder</v>
      </c>
      <c r="I362" s="2">
        <f>Raw_Data!G362</f>
        <v>18</v>
      </c>
      <c r="J362" s="5">
        <f>Raw_Data!H362</f>
        <v>450</v>
      </c>
      <c r="K362" s="5">
        <f>Raw_Data!I362</f>
        <v>247.5</v>
      </c>
      <c r="L362" s="5">
        <f>Raw_Data!J362</f>
        <v>8100</v>
      </c>
      <c r="M362" s="6">
        <f>Raw_Data!K362</f>
        <v>5</v>
      </c>
      <c r="N362" s="5">
        <f>Raw_Data!L362</f>
        <v>7695</v>
      </c>
      <c r="O362" s="5">
        <f t="shared" si="10"/>
        <v>3645</v>
      </c>
      <c r="P362" s="13">
        <f t="shared" si="11"/>
        <v>0.45</v>
      </c>
      <c r="Q362" s="2" t="str">
        <f>Raw_Data!M362</f>
        <v>Cash</v>
      </c>
      <c r="R362" s="2" t="str">
        <f>Raw_Data!N362</f>
        <v>Yes</v>
      </c>
    </row>
    <row r="363" spans="1:18" x14ac:dyDescent="0.25">
      <c r="A363" s="7" t="str">
        <f>Raw_Data!A363</f>
        <v>ORD-0362</v>
      </c>
      <c r="B363" s="8">
        <f>Raw_Data!B363</f>
        <v>45298</v>
      </c>
      <c r="C363" s="7" t="str">
        <f>TEXT(Raw_Data!B363,"MMM")</f>
        <v>Jan</v>
      </c>
      <c r="D363" s="7">
        <f>YEAR(Raw_Data!B363)</f>
        <v>2024</v>
      </c>
      <c r="E363" s="9" t="str">
        <f>Raw_Data!C363</f>
        <v>Amit Rao</v>
      </c>
      <c r="F363" s="7" t="str">
        <f>Raw_Data!D363</f>
        <v>Bangalore</v>
      </c>
      <c r="G363" s="9" t="str">
        <f>Raw_Data!E363</f>
        <v>Atorvastatin 10mg</v>
      </c>
      <c r="H363" s="7" t="str">
        <f>Raw_Data!F363</f>
        <v>Tablet</v>
      </c>
      <c r="I363" s="7">
        <f>Raw_Data!G363</f>
        <v>7</v>
      </c>
      <c r="J363" s="10">
        <f>Raw_Data!H363</f>
        <v>120</v>
      </c>
      <c r="K363" s="10">
        <f>Raw_Data!I363</f>
        <v>62.4</v>
      </c>
      <c r="L363" s="10">
        <f>Raw_Data!J363</f>
        <v>840</v>
      </c>
      <c r="M363" s="11">
        <f>Raw_Data!K363</f>
        <v>10</v>
      </c>
      <c r="N363" s="10">
        <f>Raw_Data!L363</f>
        <v>756</v>
      </c>
      <c r="O363" s="10">
        <f t="shared" si="10"/>
        <v>403.2</v>
      </c>
      <c r="P363" s="14">
        <f t="shared" si="11"/>
        <v>0.48</v>
      </c>
      <c r="Q363" s="7" t="str">
        <f>Raw_Data!M363</f>
        <v>UPI</v>
      </c>
      <c r="R363" s="7" t="str">
        <f>Raw_Data!N363</f>
        <v>Yes</v>
      </c>
    </row>
    <row r="364" spans="1:18" x14ac:dyDescent="0.25">
      <c r="A364" s="2" t="str">
        <f>Raw_Data!A364</f>
        <v>ORD-0363</v>
      </c>
      <c r="B364" s="3">
        <f>Raw_Data!B364</f>
        <v>45592</v>
      </c>
      <c r="C364" s="2" t="str">
        <f>TEXT(Raw_Data!B364,"MMM")</f>
        <v>Oct</v>
      </c>
      <c r="D364" s="2">
        <f>YEAR(Raw_Data!B364)</f>
        <v>2024</v>
      </c>
      <c r="E364" s="4" t="str">
        <f>Raw_Data!C364</f>
        <v>Vikram Patel</v>
      </c>
      <c r="F364" s="2" t="str">
        <f>Raw_Data!D364</f>
        <v>Mumbai</v>
      </c>
      <c r="G364" s="4" t="str">
        <f>Raw_Data!E364</f>
        <v>Insulin Glargine</v>
      </c>
      <c r="H364" s="2" t="str">
        <f>Raw_Data!F364</f>
        <v>Injection</v>
      </c>
      <c r="I364" s="2">
        <f>Raw_Data!G364</f>
        <v>3</v>
      </c>
      <c r="J364" s="5">
        <f>Raw_Data!H364</f>
        <v>850</v>
      </c>
      <c r="K364" s="5">
        <f>Raw_Data!I364</f>
        <v>510</v>
      </c>
      <c r="L364" s="5">
        <f>Raw_Data!J364</f>
        <v>2550</v>
      </c>
      <c r="M364" s="6">
        <f>Raw_Data!K364</f>
        <v>5</v>
      </c>
      <c r="N364" s="5">
        <f>Raw_Data!L364</f>
        <v>2422.5</v>
      </c>
      <c r="O364" s="5">
        <f t="shared" si="10"/>
        <v>1020</v>
      </c>
      <c r="P364" s="13">
        <f t="shared" si="11"/>
        <v>0.4</v>
      </c>
      <c r="Q364" s="2" t="str">
        <f>Raw_Data!M364</f>
        <v>Card</v>
      </c>
      <c r="R364" s="2" t="str">
        <f>Raw_Data!N364</f>
        <v>No</v>
      </c>
    </row>
    <row r="365" spans="1:18" x14ac:dyDescent="0.25">
      <c r="A365" s="7" t="str">
        <f>Raw_Data!A365</f>
        <v>ORD-0364</v>
      </c>
      <c r="B365" s="8">
        <f>Raw_Data!B365</f>
        <v>45461</v>
      </c>
      <c r="C365" s="7" t="str">
        <f>TEXT(Raw_Data!B365,"MMM")</f>
        <v>Jun</v>
      </c>
      <c r="D365" s="7">
        <f>YEAR(Raw_Data!B365)</f>
        <v>2024</v>
      </c>
      <c r="E365" s="9" t="str">
        <f>Raw_Data!C365</f>
        <v>Nikhil Shah</v>
      </c>
      <c r="F365" s="7" t="str">
        <f>Raw_Data!D365</f>
        <v>Ahmedabad</v>
      </c>
      <c r="G365" s="9" t="str">
        <f>Raw_Data!E365</f>
        <v>Paracetamol 500mg</v>
      </c>
      <c r="H365" s="7" t="str">
        <f>Raw_Data!F365</f>
        <v>Tablet</v>
      </c>
      <c r="I365" s="7">
        <f>Raw_Data!G365</f>
        <v>2</v>
      </c>
      <c r="J365" s="10">
        <f>Raw_Data!H365</f>
        <v>20</v>
      </c>
      <c r="K365" s="10">
        <f>Raw_Data!I365</f>
        <v>10.4</v>
      </c>
      <c r="L365" s="10">
        <f>Raw_Data!J365</f>
        <v>40</v>
      </c>
      <c r="M365" s="11">
        <f>Raw_Data!K365</f>
        <v>0</v>
      </c>
      <c r="N365" s="10">
        <f>Raw_Data!L365</f>
        <v>40</v>
      </c>
      <c r="O365" s="10">
        <f t="shared" si="10"/>
        <v>19.2</v>
      </c>
      <c r="P365" s="14">
        <f t="shared" si="11"/>
        <v>0.48</v>
      </c>
      <c r="Q365" s="7" t="str">
        <f>Raw_Data!M365</f>
        <v>Card</v>
      </c>
      <c r="R365" s="7" t="str">
        <f>Raw_Data!N365</f>
        <v>No</v>
      </c>
    </row>
    <row r="366" spans="1:18" x14ac:dyDescent="0.25">
      <c r="A366" s="2" t="str">
        <f>Raw_Data!A366</f>
        <v>ORD-0365</v>
      </c>
      <c r="B366" s="3">
        <f>Raw_Data!B366</f>
        <v>45307</v>
      </c>
      <c r="C366" s="2" t="str">
        <f>TEXT(Raw_Data!B366,"MMM")</f>
        <v>Jan</v>
      </c>
      <c r="D366" s="2">
        <f>YEAR(Raw_Data!B366)</f>
        <v>2024</v>
      </c>
      <c r="E366" s="4" t="str">
        <f>Raw_Data!C366</f>
        <v>Sanjay Nair</v>
      </c>
      <c r="F366" s="2" t="str">
        <f>Raw_Data!D366</f>
        <v>Bangalore</v>
      </c>
      <c r="G366" s="4" t="str">
        <f>Raw_Data!E366</f>
        <v>Vitamin D3 60K</v>
      </c>
      <c r="H366" s="2" t="str">
        <f>Raw_Data!F366</f>
        <v>Capsule</v>
      </c>
      <c r="I366" s="2">
        <f>Raw_Data!G366</f>
        <v>12</v>
      </c>
      <c r="J366" s="5">
        <f>Raw_Data!H366</f>
        <v>55</v>
      </c>
      <c r="K366" s="5">
        <f>Raw_Data!I366</f>
        <v>27.5</v>
      </c>
      <c r="L366" s="5">
        <f>Raw_Data!J366</f>
        <v>660</v>
      </c>
      <c r="M366" s="6">
        <f>Raw_Data!K366</f>
        <v>5</v>
      </c>
      <c r="N366" s="5">
        <f>Raw_Data!L366</f>
        <v>627</v>
      </c>
      <c r="O366" s="5">
        <f t="shared" si="10"/>
        <v>330</v>
      </c>
      <c r="P366" s="13">
        <f t="shared" si="11"/>
        <v>0.5</v>
      </c>
      <c r="Q366" s="2" t="str">
        <f>Raw_Data!M366</f>
        <v>Cash</v>
      </c>
      <c r="R366" s="2" t="str">
        <f>Raw_Data!N366</f>
        <v>No</v>
      </c>
    </row>
    <row r="367" spans="1:18" x14ac:dyDescent="0.25">
      <c r="A367" s="7" t="str">
        <f>Raw_Data!A367</f>
        <v>ORD-0366</v>
      </c>
      <c r="B367" s="8">
        <f>Raw_Data!B367</f>
        <v>45368</v>
      </c>
      <c r="C367" s="7" t="str">
        <f>TEXT(Raw_Data!B367,"MMM")</f>
        <v>Mar</v>
      </c>
      <c r="D367" s="7">
        <f>YEAR(Raw_Data!B367)</f>
        <v>2024</v>
      </c>
      <c r="E367" s="9" t="str">
        <f>Raw_Data!C367</f>
        <v>Swati Shah</v>
      </c>
      <c r="F367" s="7" t="str">
        <f>Raw_Data!D367</f>
        <v>Surat</v>
      </c>
      <c r="G367" s="9" t="str">
        <f>Raw_Data!E367</f>
        <v>Losartan 50mg</v>
      </c>
      <c r="H367" s="7" t="str">
        <f>Raw_Data!F367</f>
        <v>Tablet</v>
      </c>
      <c r="I367" s="7">
        <f>Raw_Data!G367</f>
        <v>20</v>
      </c>
      <c r="J367" s="10">
        <f>Raw_Data!H367</f>
        <v>95</v>
      </c>
      <c r="K367" s="10">
        <f>Raw_Data!I367</f>
        <v>49.4</v>
      </c>
      <c r="L367" s="10">
        <f>Raw_Data!J367</f>
        <v>1900</v>
      </c>
      <c r="M367" s="11">
        <f>Raw_Data!K367</f>
        <v>5</v>
      </c>
      <c r="N367" s="10">
        <f>Raw_Data!L367</f>
        <v>1805</v>
      </c>
      <c r="O367" s="10">
        <f t="shared" si="10"/>
        <v>912</v>
      </c>
      <c r="P367" s="14">
        <f t="shared" si="11"/>
        <v>0.48</v>
      </c>
      <c r="Q367" s="7" t="str">
        <f>Raw_Data!M367</f>
        <v>Card</v>
      </c>
      <c r="R367" s="7" t="str">
        <f>Raw_Data!N367</f>
        <v>Yes</v>
      </c>
    </row>
    <row r="368" spans="1:18" x14ac:dyDescent="0.25">
      <c r="A368" s="2" t="str">
        <f>Raw_Data!A368</f>
        <v>ORD-0367</v>
      </c>
      <c r="B368" s="3">
        <f>Raw_Data!B368</f>
        <v>45323</v>
      </c>
      <c r="C368" s="2" t="str">
        <f>TEXT(Raw_Data!B368,"MMM")</f>
        <v>Feb</v>
      </c>
      <c r="D368" s="2">
        <f>YEAR(Raw_Data!B368)</f>
        <v>2024</v>
      </c>
      <c r="E368" s="4" t="str">
        <f>Raw_Data!C368</f>
        <v>Manish Singh</v>
      </c>
      <c r="F368" s="2" t="str">
        <f>Raw_Data!D368</f>
        <v>Kolkata</v>
      </c>
      <c r="G368" s="4" t="str">
        <f>Raw_Data!E368</f>
        <v>Cetirizine 10mg</v>
      </c>
      <c r="H368" s="2" t="str">
        <f>Raw_Data!F368</f>
        <v>Tablet</v>
      </c>
      <c r="I368" s="2">
        <f>Raw_Data!G368</f>
        <v>5</v>
      </c>
      <c r="J368" s="5">
        <f>Raw_Data!H368</f>
        <v>35</v>
      </c>
      <c r="K368" s="5">
        <f>Raw_Data!I368</f>
        <v>18.2</v>
      </c>
      <c r="L368" s="5">
        <f>Raw_Data!J368</f>
        <v>175</v>
      </c>
      <c r="M368" s="6">
        <f>Raw_Data!K368</f>
        <v>10</v>
      </c>
      <c r="N368" s="5">
        <f>Raw_Data!L368</f>
        <v>157.5</v>
      </c>
      <c r="O368" s="5">
        <f t="shared" si="10"/>
        <v>84</v>
      </c>
      <c r="P368" s="13">
        <f t="shared" si="11"/>
        <v>0.48</v>
      </c>
      <c r="Q368" s="2" t="str">
        <f>Raw_Data!M368</f>
        <v>UPI</v>
      </c>
      <c r="R368" s="2" t="str">
        <f>Raw_Data!N368</f>
        <v>Yes</v>
      </c>
    </row>
    <row r="369" spans="1:18" x14ac:dyDescent="0.25">
      <c r="A369" s="7" t="str">
        <f>Raw_Data!A369</f>
        <v>ORD-0368</v>
      </c>
      <c r="B369" s="8">
        <f>Raw_Data!B369</f>
        <v>45614</v>
      </c>
      <c r="C369" s="7" t="str">
        <f>TEXT(Raw_Data!B369,"MMM")</f>
        <v>Nov</v>
      </c>
      <c r="D369" s="7">
        <f>YEAR(Raw_Data!B369)</f>
        <v>2024</v>
      </c>
      <c r="E369" s="9" t="str">
        <f>Raw_Data!C369</f>
        <v>Meera Nair</v>
      </c>
      <c r="F369" s="7" t="str">
        <f>Raw_Data!D369</f>
        <v>Mumbai</v>
      </c>
      <c r="G369" s="9" t="str">
        <f>Raw_Data!E369</f>
        <v>Antifungal Powder</v>
      </c>
      <c r="H369" s="7" t="str">
        <f>Raw_Data!F369</f>
        <v>Powder</v>
      </c>
      <c r="I369" s="7">
        <f>Raw_Data!G369</f>
        <v>13</v>
      </c>
      <c r="J369" s="10">
        <f>Raw_Data!H369</f>
        <v>55</v>
      </c>
      <c r="K369" s="10">
        <f>Raw_Data!I369</f>
        <v>30.25</v>
      </c>
      <c r="L369" s="10">
        <f>Raw_Data!J369</f>
        <v>715</v>
      </c>
      <c r="M369" s="11">
        <f>Raw_Data!K369</f>
        <v>10</v>
      </c>
      <c r="N369" s="10">
        <f>Raw_Data!L369</f>
        <v>643.5</v>
      </c>
      <c r="O369" s="10">
        <f t="shared" si="10"/>
        <v>321.75</v>
      </c>
      <c r="P369" s="14">
        <f t="shared" si="11"/>
        <v>0.45</v>
      </c>
      <c r="Q369" s="7" t="str">
        <f>Raw_Data!M369</f>
        <v>UPI</v>
      </c>
      <c r="R369" s="7" t="str">
        <f>Raw_Data!N369</f>
        <v>No</v>
      </c>
    </row>
    <row r="370" spans="1:18" x14ac:dyDescent="0.25">
      <c r="A370" s="2" t="str">
        <f>Raw_Data!A370</f>
        <v>ORD-0369</v>
      </c>
      <c r="B370" s="3">
        <f>Raw_Data!B370</f>
        <v>45581</v>
      </c>
      <c r="C370" s="2" t="str">
        <f>TEXT(Raw_Data!B370,"MMM")</f>
        <v>Oct</v>
      </c>
      <c r="D370" s="2">
        <f>YEAR(Raw_Data!B370)</f>
        <v>2024</v>
      </c>
      <c r="E370" s="4" t="str">
        <f>Raw_Data!C370</f>
        <v>Rahul Nair</v>
      </c>
      <c r="F370" s="2" t="str">
        <f>Raw_Data!D370</f>
        <v>Kolkata</v>
      </c>
      <c r="G370" s="4" t="str">
        <f>Raw_Data!E370</f>
        <v>Cipla Eye Drops</v>
      </c>
      <c r="H370" s="2" t="str">
        <f>Raw_Data!F370</f>
        <v>Drops</v>
      </c>
      <c r="I370" s="2">
        <f>Raw_Data!G370</f>
        <v>9</v>
      </c>
      <c r="J370" s="5">
        <f>Raw_Data!H370</f>
        <v>70</v>
      </c>
      <c r="K370" s="5">
        <f>Raw_Data!I370</f>
        <v>31.5</v>
      </c>
      <c r="L370" s="5">
        <f>Raw_Data!J370</f>
        <v>630</v>
      </c>
      <c r="M370" s="6">
        <f>Raw_Data!K370</f>
        <v>0</v>
      </c>
      <c r="N370" s="5">
        <f>Raw_Data!L370</f>
        <v>630</v>
      </c>
      <c r="O370" s="5">
        <f t="shared" si="10"/>
        <v>346.5</v>
      </c>
      <c r="P370" s="13">
        <f t="shared" si="11"/>
        <v>0.55000000000000004</v>
      </c>
      <c r="Q370" s="2" t="str">
        <f>Raw_Data!M370</f>
        <v>Card</v>
      </c>
      <c r="R370" s="2" t="str">
        <f>Raw_Data!N370</f>
        <v>Yes</v>
      </c>
    </row>
    <row r="371" spans="1:18" x14ac:dyDescent="0.25">
      <c r="A371" s="7" t="str">
        <f>Raw_Data!A371</f>
        <v>ORD-0370</v>
      </c>
      <c r="B371" s="8">
        <f>Raw_Data!B371</f>
        <v>45435</v>
      </c>
      <c r="C371" s="7" t="str">
        <f>TEXT(Raw_Data!B371,"MMM")</f>
        <v>May</v>
      </c>
      <c r="D371" s="7">
        <f>YEAR(Raw_Data!B371)</f>
        <v>2024</v>
      </c>
      <c r="E371" s="9" t="str">
        <f>Raw_Data!C371</f>
        <v>Deepa Kumar</v>
      </c>
      <c r="F371" s="7" t="str">
        <f>Raw_Data!D371</f>
        <v>Jaipur</v>
      </c>
      <c r="G371" s="9" t="str">
        <f>Raw_Data!E371</f>
        <v>Pantoprazole 40mg</v>
      </c>
      <c r="H371" s="7" t="str">
        <f>Raw_Data!F371</f>
        <v>Tablet</v>
      </c>
      <c r="I371" s="7">
        <f>Raw_Data!G371</f>
        <v>12</v>
      </c>
      <c r="J371" s="10">
        <f>Raw_Data!H371</f>
        <v>75</v>
      </c>
      <c r="K371" s="10">
        <f>Raw_Data!I371</f>
        <v>39</v>
      </c>
      <c r="L371" s="10">
        <f>Raw_Data!J371</f>
        <v>900</v>
      </c>
      <c r="M371" s="11">
        <f>Raw_Data!K371</f>
        <v>5</v>
      </c>
      <c r="N371" s="10">
        <f>Raw_Data!L371</f>
        <v>855</v>
      </c>
      <c r="O371" s="10">
        <f t="shared" si="10"/>
        <v>432</v>
      </c>
      <c r="P371" s="14">
        <f t="shared" si="11"/>
        <v>0.48</v>
      </c>
      <c r="Q371" s="7" t="str">
        <f>Raw_Data!M371</f>
        <v>Cash</v>
      </c>
      <c r="R371" s="7" t="str">
        <f>Raw_Data!N371</f>
        <v>No</v>
      </c>
    </row>
    <row r="372" spans="1:18" x14ac:dyDescent="0.25">
      <c r="A372" s="2" t="str">
        <f>Raw_Data!A372</f>
        <v>ORD-0371</v>
      </c>
      <c r="B372" s="3">
        <f>Raw_Data!B372</f>
        <v>45565</v>
      </c>
      <c r="C372" s="2" t="str">
        <f>TEXT(Raw_Data!B372,"MMM")</f>
        <v>Sep</v>
      </c>
      <c r="D372" s="2">
        <f>YEAR(Raw_Data!B372)</f>
        <v>2024</v>
      </c>
      <c r="E372" s="4" t="str">
        <f>Raw_Data!C372</f>
        <v>Anjali Gupta</v>
      </c>
      <c r="F372" s="2" t="str">
        <f>Raw_Data!D372</f>
        <v>Mumbai</v>
      </c>
      <c r="G372" s="4" t="str">
        <f>Raw_Data!E372</f>
        <v>Antifungal Powder</v>
      </c>
      <c r="H372" s="2" t="str">
        <f>Raw_Data!F372</f>
        <v>Powder</v>
      </c>
      <c r="I372" s="2">
        <f>Raw_Data!G372</f>
        <v>8</v>
      </c>
      <c r="J372" s="5">
        <f>Raw_Data!H372</f>
        <v>55</v>
      </c>
      <c r="K372" s="5">
        <f>Raw_Data!I372</f>
        <v>30.25</v>
      </c>
      <c r="L372" s="5">
        <f>Raw_Data!J372</f>
        <v>440</v>
      </c>
      <c r="M372" s="6">
        <f>Raw_Data!K372</f>
        <v>10</v>
      </c>
      <c r="N372" s="5">
        <f>Raw_Data!L372</f>
        <v>396</v>
      </c>
      <c r="O372" s="5">
        <f t="shared" si="10"/>
        <v>198</v>
      </c>
      <c r="P372" s="13">
        <f t="shared" si="11"/>
        <v>0.45</v>
      </c>
      <c r="Q372" s="2" t="str">
        <f>Raw_Data!M372</f>
        <v>UPI</v>
      </c>
      <c r="R372" s="2" t="str">
        <f>Raw_Data!N372</f>
        <v>No</v>
      </c>
    </row>
    <row r="373" spans="1:18" x14ac:dyDescent="0.25">
      <c r="A373" s="7" t="str">
        <f>Raw_Data!A373</f>
        <v>ORD-0372</v>
      </c>
      <c r="B373" s="8">
        <f>Raw_Data!B373</f>
        <v>45413</v>
      </c>
      <c r="C373" s="7" t="str">
        <f>TEXT(Raw_Data!B373,"MMM")</f>
        <v>May</v>
      </c>
      <c r="D373" s="7">
        <f>YEAR(Raw_Data!B373)</f>
        <v>2024</v>
      </c>
      <c r="E373" s="9" t="str">
        <f>Raw_Data!C373</f>
        <v>Vijay Rao</v>
      </c>
      <c r="F373" s="7" t="str">
        <f>Raw_Data!D373</f>
        <v>Pune</v>
      </c>
      <c r="G373" s="9" t="str">
        <f>Raw_Data!E373</f>
        <v>Cipla Eye Drops</v>
      </c>
      <c r="H373" s="7" t="str">
        <f>Raw_Data!F373</f>
        <v>Drops</v>
      </c>
      <c r="I373" s="7">
        <f>Raw_Data!G373</f>
        <v>19</v>
      </c>
      <c r="J373" s="10">
        <f>Raw_Data!H373</f>
        <v>70</v>
      </c>
      <c r="K373" s="10">
        <f>Raw_Data!I373</f>
        <v>31.5</v>
      </c>
      <c r="L373" s="10">
        <f>Raw_Data!J373</f>
        <v>1330</v>
      </c>
      <c r="M373" s="11">
        <f>Raw_Data!K373</f>
        <v>0</v>
      </c>
      <c r="N373" s="10">
        <f>Raw_Data!L373</f>
        <v>1330</v>
      </c>
      <c r="O373" s="10">
        <f t="shared" si="10"/>
        <v>731.5</v>
      </c>
      <c r="P373" s="14">
        <f t="shared" si="11"/>
        <v>0.55000000000000004</v>
      </c>
      <c r="Q373" s="7" t="str">
        <f>Raw_Data!M373</f>
        <v>Card</v>
      </c>
      <c r="R373" s="7" t="str">
        <f>Raw_Data!N373</f>
        <v>No</v>
      </c>
    </row>
    <row r="374" spans="1:18" x14ac:dyDescent="0.25">
      <c r="A374" s="2" t="str">
        <f>Raw_Data!A374</f>
        <v>ORD-0373</v>
      </c>
      <c r="B374" s="3">
        <f>Raw_Data!B374</f>
        <v>45364</v>
      </c>
      <c r="C374" s="2" t="str">
        <f>TEXT(Raw_Data!B374,"MMM")</f>
        <v>Mar</v>
      </c>
      <c r="D374" s="2">
        <f>YEAR(Raw_Data!B374)</f>
        <v>2024</v>
      </c>
      <c r="E374" s="4" t="str">
        <f>Raw_Data!C374</f>
        <v>Priya Singh</v>
      </c>
      <c r="F374" s="2" t="str">
        <f>Raw_Data!D374</f>
        <v>Ahmedabad</v>
      </c>
      <c r="G374" s="4" t="str">
        <f>Raw_Data!E374</f>
        <v>Otrivin Nasal Drops</v>
      </c>
      <c r="H374" s="2" t="str">
        <f>Raw_Data!F374</f>
        <v>Drops</v>
      </c>
      <c r="I374" s="2">
        <f>Raw_Data!G374</f>
        <v>18</v>
      </c>
      <c r="J374" s="5">
        <f>Raw_Data!H374</f>
        <v>95</v>
      </c>
      <c r="K374" s="5">
        <f>Raw_Data!I374</f>
        <v>42.75</v>
      </c>
      <c r="L374" s="5">
        <f>Raw_Data!J374</f>
        <v>1710</v>
      </c>
      <c r="M374" s="6">
        <f>Raw_Data!K374</f>
        <v>5</v>
      </c>
      <c r="N374" s="5">
        <f>Raw_Data!L374</f>
        <v>1624.5</v>
      </c>
      <c r="O374" s="5">
        <f t="shared" si="10"/>
        <v>940.5</v>
      </c>
      <c r="P374" s="13">
        <f t="shared" si="11"/>
        <v>0.55000000000000004</v>
      </c>
      <c r="Q374" s="2" t="str">
        <f>Raw_Data!M374</f>
        <v>Cash</v>
      </c>
      <c r="R374" s="2" t="str">
        <f>Raw_Data!N374</f>
        <v>Yes</v>
      </c>
    </row>
    <row r="375" spans="1:18" x14ac:dyDescent="0.25">
      <c r="A375" s="7" t="str">
        <f>Raw_Data!A375</f>
        <v>ORD-0374</v>
      </c>
      <c r="B375" s="8">
        <f>Raw_Data!B375</f>
        <v>45600</v>
      </c>
      <c r="C375" s="7" t="str">
        <f>TEXT(Raw_Data!B375,"MMM")</f>
        <v>Nov</v>
      </c>
      <c r="D375" s="7">
        <f>YEAR(Raw_Data!B375)</f>
        <v>2024</v>
      </c>
      <c r="E375" s="9" t="str">
        <f>Raw_Data!C375</f>
        <v>Vikram Joshi</v>
      </c>
      <c r="F375" s="7" t="str">
        <f>Raw_Data!D375</f>
        <v>Jaipur</v>
      </c>
      <c r="G375" s="9" t="str">
        <f>Raw_Data!E375</f>
        <v>Benadryl Cough Syrup</v>
      </c>
      <c r="H375" s="7" t="str">
        <f>Raw_Data!F375</f>
        <v>Syrup</v>
      </c>
      <c r="I375" s="7">
        <f>Raw_Data!G375</f>
        <v>16</v>
      </c>
      <c r="J375" s="10">
        <f>Raw_Data!H375</f>
        <v>110</v>
      </c>
      <c r="K375" s="10">
        <f>Raw_Data!I375</f>
        <v>52.8</v>
      </c>
      <c r="L375" s="10">
        <f>Raw_Data!J375</f>
        <v>1760</v>
      </c>
      <c r="M375" s="11">
        <f>Raw_Data!K375</f>
        <v>0</v>
      </c>
      <c r="N375" s="10">
        <f>Raw_Data!L375</f>
        <v>1760</v>
      </c>
      <c r="O375" s="10">
        <f t="shared" si="10"/>
        <v>915.2</v>
      </c>
      <c r="P375" s="14">
        <f t="shared" si="11"/>
        <v>0.52</v>
      </c>
      <c r="Q375" s="7" t="str">
        <f>Raw_Data!M375</f>
        <v>UPI</v>
      </c>
      <c r="R375" s="7" t="str">
        <f>Raw_Data!N375</f>
        <v>No</v>
      </c>
    </row>
    <row r="376" spans="1:18" x14ac:dyDescent="0.25">
      <c r="A376" s="2" t="str">
        <f>Raw_Data!A376</f>
        <v>ORD-0375</v>
      </c>
      <c r="B376" s="3">
        <f>Raw_Data!B376</f>
        <v>45382</v>
      </c>
      <c r="C376" s="2" t="str">
        <f>TEXT(Raw_Data!B376,"MMM")</f>
        <v>Mar</v>
      </c>
      <c r="D376" s="2">
        <f>YEAR(Raw_Data!B376)</f>
        <v>2024</v>
      </c>
      <c r="E376" s="4" t="str">
        <f>Raw_Data!C376</f>
        <v>Sunita Mishra</v>
      </c>
      <c r="F376" s="2" t="str">
        <f>Raw_Data!D376</f>
        <v>Mumbai</v>
      </c>
      <c r="G376" s="4" t="str">
        <f>Raw_Data!E376</f>
        <v>Protein Supplement</v>
      </c>
      <c r="H376" s="2" t="str">
        <f>Raw_Data!F376</f>
        <v>Powder</v>
      </c>
      <c r="I376" s="2">
        <f>Raw_Data!G376</f>
        <v>1</v>
      </c>
      <c r="J376" s="5">
        <f>Raw_Data!H376</f>
        <v>450</v>
      </c>
      <c r="K376" s="5">
        <f>Raw_Data!I376</f>
        <v>247.5</v>
      </c>
      <c r="L376" s="5">
        <f>Raw_Data!J376</f>
        <v>450</v>
      </c>
      <c r="M376" s="6">
        <f>Raw_Data!K376</f>
        <v>0</v>
      </c>
      <c r="N376" s="5">
        <f>Raw_Data!L376</f>
        <v>450</v>
      </c>
      <c r="O376" s="5">
        <f t="shared" si="10"/>
        <v>202.5</v>
      </c>
      <c r="P376" s="13">
        <f t="shared" si="11"/>
        <v>0.45</v>
      </c>
      <c r="Q376" s="2" t="str">
        <f>Raw_Data!M376</f>
        <v>UPI</v>
      </c>
      <c r="R376" s="2" t="str">
        <f>Raw_Data!N376</f>
        <v>No</v>
      </c>
    </row>
    <row r="377" spans="1:18" x14ac:dyDescent="0.25">
      <c r="A377" s="7" t="str">
        <f>Raw_Data!A377</f>
        <v>ORD-0376</v>
      </c>
      <c r="B377" s="8">
        <f>Raw_Data!B377</f>
        <v>45561</v>
      </c>
      <c r="C377" s="7" t="str">
        <f>TEXT(Raw_Data!B377,"MMM")</f>
        <v>Sep</v>
      </c>
      <c r="D377" s="7">
        <f>YEAR(Raw_Data!B377)</f>
        <v>2024</v>
      </c>
      <c r="E377" s="9" t="str">
        <f>Raw_Data!C377</f>
        <v>Arjun Gupta</v>
      </c>
      <c r="F377" s="7" t="str">
        <f>Raw_Data!D377</f>
        <v>Delhi</v>
      </c>
      <c r="G377" s="9" t="str">
        <f>Raw_Data!E377</f>
        <v>Protein Supplement</v>
      </c>
      <c r="H377" s="7" t="str">
        <f>Raw_Data!F377</f>
        <v>Powder</v>
      </c>
      <c r="I377" s="7">
        <f>Raw_Data!G377</f>
        <v>12</v>
      </c>
      <c r="J377" s="10">
        <f>Raw_Data!H377</f>
        <v>450</v>
      </c>
      <c r="K377" s="10">
        <f>Raw_Data!I377</f>
        <v>247.5</v>
      </c>
      <c r="L377" s="10">
        <f>Raw_Data!J377</f>
        <v>5400</v>
      </c>
      <c r="M377" s="11">
        <f>Raw_Data!K377</f>
        <v>10</v>
      </c>
      <c r="N377" s="10">
        <f>Raw_Data!L377</f>
        <v>4860</v>
      </c>
      <c r="O377" s="10">
        <f t="shared" si="10"/>
        <v>2430</v>
      </c>
      <c r="P377" s="14">
        <f t="shared" si="11"/>
        <v>0.45</v>
      </c>
      <c r="Q377" s="7" t="str">
        <f>Raw_Data!M377</f>
        <v>Card</v>
      </c>
      <c r="R377" s="7" t="str">
        <f>Raw_Data!N377</f>
        <v>No</v>
      </c>
    </row>
    <row r="378" spans="1:18" x14ac:dyDescent="0.25">
      <c r="A378" s="2" t="str">
        <f>Raw_Data!A378</f>
        <v>ORD-0377</v>
      </c>
      <c r="B378" s="3">
        <f>Raw_Data!B378</f>
        <v>45372</v>
      </c>
      <c r="C378" s="2" t="str">
        <f>TEXT(Raw_Data!B378,"MMM")</f>
        <v>Mar</v>
      </c>
      <c r="D378" s="2">
        <f>YEAR(Raw_Data!B378)</f>
        <v>2024</v>
      </c>
      <c r="E378" s="4" t="str">
        <f>Raw_Data!C378</f>
        <v>Nisha Dubey</v>
      </c>
      <c r="F378" s="2" t="str">
        <f>Raw_Data!D378</f>
        <v>Ahmedabad</v>
      </c>
      <c r="G378" s="4" t="str">
        <f>Raw_Data!E378</f>
        <v>Candid Cream</v>
      </c>
      <c r="H378" s="2" t="str">
        <f>Raw_Data!F378</f>
        <v>Cream</v>
      </c>
      <c r="I378" s="2">
        <f>Raw_Data!G378</f>
        <v>11</v>
      </c>
      <c r="J378" s="5">
        <f>Raw_Data!H378</f>
        <v>65</v>
      </c>
      <c r="K378" s="5">
        <f>Raw_Data!I378</f>
        <v>30.55</v>
      </c>
      <c r="L378" s="5">
        <f>Raw_Data!J378</f>
        <v>715</v>
      </c>
      <c r="M378" s="6">
        <f>Raw_Data!K378</f>
        <v>0</v>
      </c>
      <c r="N378" s="5">
        <f>Raw_Data!L378</f>
        <v>715</v>
      </c>
      <c r="O378" s="5">
        <f t="shared" si="10"/>
        <v>378.95</v>
      </c>
      <c r="P378" s="13">
        <f t="shared" si="11"/>
        <v>0.53</v>
      </c>
      <c r="Q378" s="2" t="str">
        <f>Raw_Data!M378</f>
        <v>Card</v>
      </c>
      <c r="R378" s="2" t="str">
        <f>Raw_Data!N378</f>
        <v>No</v>
      </c>
    </row>
    <row r="379" spans="1:18" x14ac:dyDescent="0.25">
      <c r="A379" s="7" t="str">
        <f>Raw_Data!A379</f>
        <v>ORD-0378</v>
      </c>
      <c r="B379" s="8">
        <f>Raw_Data!B379</f>
        <v>45474</v>
      </c>
      <c r="C379" s="7" t="str">
        <f>TEXT(Raw_Data!B379,"MMM")</f>
        <v>Jul</v>
      </c>
      <c r="D379" s="7">
        <f>YEAR(Raw_Data!B379)</f>
        <v>2024</v>
      </c>
      <c r="E379" s="9" t="str">
        <f>Raw_Data!C379</f>
        <v>Anjali Tiwari</v>
      </c>
      <c r="F379" s="7" t="str">
        <f>Raw_Data!D379</f>
        <v>Bangalore</v>
      </c>
      <c r="G379" s="9" t="str">
        <f>Raw_Data!E379</f>
        <v>Antacid Syrup</v>
      </c>
      <c r="H379" s="7" t="str">
        <f>Raw_Data!F379</f>
        <v>Syrup</v>
      </c>
      <c r="I379" s="7">
        <f>Raw_Data!G379</f>
        <v>13</v>
      </c>
      <c r="J379" s="10">
        <f>Raw_Data!H379</f>
        <v>80</v>
      </c>
      <c r="K379" s="10">
        <f>Raw_Data!I379</f>
        <v>38.4</v>
      </c>
      <c r="L379" s="10">
        <f>Raw_Data!J379</f>
        <v>1040</v>
      </c>
      <c r="M379" s="11">
        <f>Raw_Data!K379</f>
        <v>5</v>
      </c>
      <c r="N379" s="10">
        <f>Raw_Data!L379</f>
        <v>988</v>
      </c>
      <c r="O379" s="10">
        <f t="shared" si="10"/>
        <v>540.79999999999995</v>
      </c>
      <c r="P379" s="14">
        <f t="shared" si="11"/>
        <v>0.51999999999999991</v>
      </c>
      <c r="Q379" s="7" t="str">
        <f>Raw_Data!M379</f>
        <v>Cash</v>
      </c>
      <c r="R379" s="7" t="str">
        <f>Raw_Data!N379</f>
        <v>No</v>
      </c>
    </row>
    <row r="380" spans="1:18" x14ac:dyDescent="0.25">
      <c r="A380" s="2" t="str">
        <f>Raw_Data!A380</f>
        <v>ORD-0379</v>
      </c>
      <c r="B380" s="3">
        <f>Raw_Data!B380</f>
        <v>45292</v>
      </c>
      <c r="C380" s="2" t="str">
        <f>TEXT(Raw_Data!B380,"MMM")</f>
        <v>Jan</v>
      </c>
      <c r="D380" s="2">
        <f>YEAR(Raw_Data!B380)</f>
        <v>2024</v>
      </c>
      <c r="E380" s="4" t="str">
        <f>Raw_Data!C380</f>
        <v>Nisha Singh</v>
      </c>
      <c r="F380" s="2" t="str">
        <f>Raw_Data!D380</f>
        <v>Kolkata</v>
      </c>
      <c r="G380" s="4" t="str">
        <f>Raw_Data!E380</f>
        <v>Soframycin Cream</v>
      </c>
      <c r="H380" s="2" t="str">
        <f>Raw_Data!F380</f>
        <v>Cream</v>
      </c>
      <c r="I380" s="2">
        <f>Raw_Data!G380</f>
        <v>19</v>
      </c>
      <c r="J380" s="5">
        <f>Raw_Data!H380</f>
        <v>72</v>
      </c>
      <c r="K380" s="5">
        <f>Raw_Data!I380</f>
        <v>33.840000000000003</v>
      </c>
      <c r="L380" s="5">
        <f>Raw_Data!J380</f>
        <v>1368</v>
      </c>
      <c r="M380" s="6">
        <f>Raw_Data!K380</f>
        <v>0</v>
      </c>
      <c r="N380" s="5">
        <f>Raw_Data!L380</f>
        <v>1368</v>
      </c>
      <c r="O380" s="5">
        <f t="shared" si="10"/>
        <v>725.04</v>
      </c>
      <c r="P380" s="13">
        <f t="shared" si="11"/>
        <v>0.53</v>
      </c>
      <c r="Q380" s="2" t="str">
        <f>Raw_Data!M380</f>
        <v>Card</v>
      </c>
      <c r="R380" s="2" t="str">
        <f>Raw_Data!N380</f>
        <v>Yes</v>
      </c>
    </row>
    <row r="381" spans="1:18" x14ac:dyDescent="0.25">
      <c r="A381" s="7" t="str">
        <f>Raw_Data!A381</f>
        <v>ORD-0380</v>
      </c>
      <c r="B381" s="8">
        <f>Raw_Data!B381</f>
        <v>45619</v>
      </c>
      <c r="C381" s="7" t="str">
        <f>TEXT(Raw_Data!B381,"MMM")</f>
        <v>Nov</v>
      </c>
      <c r="D381" s="7">
        <f>YEAR(Raw_Data!B381)</f>
        <v>2024</v>
      </c>
      <c r="E381" s="9" t="str">
        <f>Raw_Data!C381</f>
        <v>Arjun Gupta</v>
      </c>
      <c r="F381" s="7" t="str">
        <f>Raw_Data!D381</f>
        <v>Ahmedabad</v>
      </c>
      <c r="G381" s="9" t="str">
        <f>Raw_Data!E381</f>
        <v>Otrivin Nasal Drops</v>
      </c>
      <c r="H381" s="7" t="str">
        <f>Raw_Data!F381</f>
        <v>Drops</v>
      </c>
      <c r="I381" s="7">
        <f>Raw_Data!G381</f>
        <v>5</v>
      </c>
      <c r="J381" s="10">
        <f>Raw_Data!H381</f>
        <v>95</v>
      </c>
      <c r="K381" s="10">
        <f>Raw_Data!I381</f>
        <v>42.75</v>
      </c>
      <c r="L381" s="10">
        <f>Raw_Data!J381</f>
        <v>475</v>
      </c>
      <c r="M381" s="11">
        <f>Raw_Data!K381</f>
        <v>10</v>
      </c>
      <c r="N381" s="10">
        <f>Raw_Data!L381</f>
        <v>427.5</v>
      </c>
      <c r="O381" s="10">
        <f t="shared" si="10"/>
        <v>261.25</v>
      </c>
      <c r="P381" s="14">
        <f t="shared" si="11"/>
        <v>0.55000000000000004</v>
      </c>
      <c r="Q381" s="7" t="str">
        <f>Raw_Data!M381</f>
        <v>Cash</v>
      </c>
      <c r="R381" s="7" t="str">
        <f>Raw_Data!N381</f>
        <v>No</v>
      </c>
    </row>
    <row r="382" spans="1:18" x14ac:dyDescent="0.25">
      <c r="A382" s="2" t="str">
        <f>Raw_Data!A382</f>
        <v>ORD-0381</v>
      </c>
      <c r="B382" s="3">
        <f>Raw_Data!B382</f>
        <v>45617</v>
      </c>
      <c r="C382" s="2" t="str">
        <f>TEXT(Raw_Data!B382,"MMM")</f>
        <v>Nov</v>
      </c>
      <c r="D382" s="2">
        <f>YEAR(Raw_Data!B382)</f>
        <v>2024</v>
      </c>
      <c r="E382" s="4" t="str">
        <f>Raw_Data!C382</f>
        <v>Meera Kumar</v>
      </c>
      <c r="F382" s="2" t="str">
        <f>Raw_Data!D382</f>
        <v>Ahmedabad</v>
      </c>
      <c r="G382" s="4" t="str">
        <f>Raw_Data!E382</f>
        <v>Ibuprofen 400mg</v>
      </c>
      <c r="H382" s="2" t="str">
        <f>Raw_Data!F382</f>
        <v>Tablet</v>
      </c>
      <c r="I382" s="2">
        <f>Raw_Data!G382</f>
        <v>1</v>
      </c>
      <c r="J382" s="5">
        <f>Raw_Data!H382</f>
        <v>30</v>
      </c>
      <c r="K382" s="5">
        <f>Raw_Data!I382</f>
        <v>15.6</v>
      </c>
      <c r="L382" s="5">
        <f>Raw_Data!J382</f>
        <v>30</v>
      </c>
      <c r="M382" s="6">
        <f>Raw_Data!K382</f>
        <v>5</v>
      </c>
      <c r="N382" s="5">
        <f>Raw_Data!L382</f>
        <v>28.5</v>
      </c>
      <c r="O382" s="5">
        <f t="shared" si="10"/>
        <v>14.4</v>
      </c>
      <c r="P382" s="13">
        <f t="shared" si="11"/>
        <v>0.48000000000000004</v>
      </c>
      <c r="Q382" s="2" t="str">
        <f>Raw_Data!M382</f>
        <v>UPI</v>
      </c>
      <c r="R382" s="2" t="str">
        <f>Raw_Data!N382</f>
        <v>Yes</v>
      </c>
    </row>
    <row r="383" spans="1:18" x14ac:dyDescent="0.25">
      <c r="A383" s="7" t="str">
        <f>Raw_Data!A383</f>
        <v>ORD-0382</v>
      </c>
      <c r="B383" s="8">
        <f>Raw_Data!B383</f>
        <v>45347</v>
      </c>
      <c r="C383" s="7" t="str">
        <f>TEXT(Raw_Data!B383,"MMM")</f>
        <v>Feb</v>
      </c>
      <c r="D383" s="7">
        <f>YEAR(Raw_Data!B383)</f>
        <v>2024</v>
      </c>
      <c r="E383" s="9" t="str">
        <f>Raw_Data!C383</f>
        <v>Pooja Shah</v>
      </c>
      <c r="F383" s="7" t="str">
        <f>Raw_Data!D383</f>
        <v>Mumbai</v>
      </c>
      <c r="G383" s="9" t="str">
        <f>Raw_Data!E383</f>
        <v>Betadine Cream</v>
      </c>
      <c r="H383" s="7" t="str">
        <f>Raw_Data!F383</f>
        <v>Cream</v>
      </c>
      <c r="I383" s="7">
        <f>Raw_Data!G383</f>
        <v>13</v>
      </c>
      <c r="J383" s="10">
        <f>Raw_Data!H383</f>
        <v>85</v>
      </c>
      <c r="K383" s="10">
        <f>Raw_Data!I383</f>
        <v>39.950000000000003</v>
      </c>
      <c r="L383" s="10">
        <f>Raw_Data!J383</f>
        <v>1105</v>
      </c>
      <c r="M383" s="11">
        <f>Raw_Data!K383</f>
        <v>15</v>
      </c>
      <c r="N383" s="10">
        <f>Raw_Data!L383</f>
        <v>939.25</v>
      </c>
      <c r="O383" s="10">
        <f t="shared" si="10"/>
        <v>585.65</v>
      </c>
      <c r="P383" s="14">
        <f t="shared" si="11"/>
        <v>0.53</v>
      </c>
      <c r="Q383" s="7" t="str">
        <f>Raw_Data!M383</f>
        <v>UPI</v>
      </c>
      <c r="R383" s="7" t="str">
        <f>Raw_Data!N383</f>
        <v>No</v>
      </c>
    </row>
    <row r="384" spans="1:18" x14ac:dyDescent="0.25">
      <c r="A384" s="2" t="str">
        <f>Raw_Data!A384</f>
        <v>ORD-0383</v>
      </c>
      <c r="B384" s="3">
        <f>Raw_Data!B384</f>
        <v>45485</v>
      </c>
      <c r="C384" s="2" t="str">
        <f>TEXT(Raw_Data!B384,"MMM")</f>
        <v>Jul</v>
      </c>
      <c r="D384" s="2">
        <f>YEAR(Raw_Data!B384)</f>
        <v>2024</v>
      </c>
      <c r="E384" s="4" t="str">
        <f>Raw_Data!C384</f>
        <v>Priya Kumar</v>
      </c>
      <c r="F384" s="2" t="str">
        <f>Raw_Data!D384</f>
        <v>Delhi</v>
      </c>
      <c r="G384" s="4" t="str">
        <f>Raw_Data!E384</f>
        <v>Vitamin B12 Inj</v>
      </c>
      <c r="H384" s="2" t="str">
        <f>Raw_Data!F384</f>
        <v>Injection</v>
      </c>
      <c r="I384" s="2">
        <f>Raw_Data!G384</f>
        <v>16</v>
      </c>
      <c r="J384" s="5">
        <f>Raw_Data!H384</f>
        <v>60</v>
      </c>
      <c r="K384" s="5">
        <f>Raw_Data!I384</f>
        <v>36</v>
      </c>
      <c r="L384" s="5">
        <f>Raw_Data!J384</f>
        <v>960</v>
      </c>
      <c r="M384" s="6">
        <f>Raw_Data!K384</f>
        <v>5</v>
      </c>
      <c r="N384" s="5">
        <f>Raw_Data!L384</f>
        <v>912</v>
      </c>
      <c r="O384" s="5">
        <f t="shared" si="10"/>
        <v>384</v>
      </c>
      <c r="P384" s="13">
        <f t="shared" si="11"/>
        <v>0.4</v>
      </c>
      <c r="Q384" s="2" t="str">
        <f>Raw_Data!M384</f>
        <v>Cash</v>
      </c>
      <c r="R384" s="2" t="str">
        <f>Raw_Data!N384</f>
        <v>Yes</v>
      </c>
    </row>
    <row r="385" spans="1:18" x14ac:dyDescent="0.25">
      <c r="A385" s="7" t="str">
        <f>Raw_Data!A385</f>
        <v>ORD-0384</v>
      </c>
      <c r="B385" s="8">
        <f>Raw_Data!B385</f>
        <v>45302</v>
      </c>
      <c r="C385" s="7" t="str">
        <f>TEXT(Raw_Data!B385,"MMM")</f>
        <v>Jan</v>
      </c>
      <c r="D385" s="7">
        <f>YEAR(Raw_Data!B385)</f>
        <v>2024</v>
      </c>
      <c r="E385" s="9" t="str">
        <f>Raw_Data!C385</f>
        <v>Amit Verma</v>
      </c>
      <c r="F385" s="7" t="str">
        <f>Raw_Data!D385</f>
        <v>Delhi</v>
      </c>
      <c r="G385" s="9" t="str">
        <f>Raw_Data!E385</f>
        <v>Dexamethasone Inj</v>
      </c>
      <c r="H385" s="7" t="str">
        <f>Raw_Data!F385</f>
        <v>Injection</v>
      </c>
      <c r="I385" s="7">
        <f>Raw_Data!G385</f>
        <v>3</v>
      </c>
      <c r="J385" s="10">
        <f>Raw_Data!H385</f>
        <v>95</v>
      </c>
      <c r="K385" s="10">
        <f>Raw_Data!I385</f>
        <v>57</v>
      </c>
      <c r="L385" s="10">
        <f>Raw_Data!J385</f>
        <v>285</v>
      </c>
      <c r="M385" s="11">
        <f>Raw_Data!K385</f>
        <v>10</v>
      </c>
      <c r="N385" s="10">
        <f>Raw_Data!L385</f>
        <v>256.5</v>
      </c>
      <c r="O385" s="10">
        <f t="shared" si="10"/>
        <v>114</v>
      </c>
      <c r="P385" s="14">
        <f t="shared" si="11"/>
        <v>0.4</v>
      </c>
      <c r="Q385" s="7" t="str">
        <f>Raw_Data!M385</f>
        <v>Card</v>
      </c>
      <c r="R385" s="7" t="str">
        <f>Raw_Data!N385</f>
        <v>Yes</v>
      </c>
    </row>
    <row r="386" spans="1:18" x14ac:dyDescent="0.25">
      <c r="A386" s="2" t="str">
        <f>Raw_Data!A386</f>
        <v>ORD-0385</v>
      </c>
      <c r="B386" s="3">
        <f>Raw_Data!B386</f>
        <v>45339</v>
      </c>
      <c r="C386" s="2" t="str">
        <f>TEXT(Raw_Data!B386,"MMM")</f>
        <v>Feb</v>
      </c>
      <c r="D386" s="2">
        <f>YEAR(Raw_Data!B386)</f>
        <v>2024</v>
      </c>
      <c r="E386" s="4" t="str">
        <f>Raw_Data!C386</f>
        <v>Priya Patel</v>
      </c>
      <c r="F386" s="2" t="str">
        <f>Raw_Data!D386</f>
        <v>Mumbai</v>
      </c>
      <c r="G386" s="4" t="str">
        <f>Raw_Data!E386</f>
        <v>Vitamin B12 Inj</v>
      </c>
      <c r="H386" s="2" t="str">
        <f>Raw_Data!F386</f>
        <v>Injection</v>
      </c>
      <c r="I386" s="2">
        <f>Raw_Data!G386</f>
        <v>14</v>
      </c>
      <c r="J386" s="5">
        <f>Raw_Data!H386</f>
        <v>60</v>
      </c>
      <c r="K386" s="5">
        <f>Raw_Data!I386</f>
        <v>36</v>
      </c>
      <c r="L386" s="5">
        <f>Raw_Data!J386</f>
        <v>840</v>
      </c>
      <c r="M386" s="6">
        <f>Raw_Data!K386</f>
        <v>0</v>
      </c>
      <c r="N386" s="5">
        <f>Raw_Data!L386</f>
        <v>840</v>
      </c>
      <c r="O386" s="5">
        <f t="shared" ref="O386:O449" si="12">L386-(I386*K386)</f>
        <v>336</v>
      </c>
      <c r="P386" s="13">
        <f t="shared" ref="P386:P449" si="13">IFERROR((L386-(I386*K386))/L386,0)</f>
        <v>0.4</v>
      </c>
      <c r="Q386" s="2" t="str">
        <f>Raw_Data!M386</f>
        <v>Card</v>
      </c>
      <c r="R386" s="2" t="str">
        <f>Raw_Data!N386</f>
        <v>Yes</v>
      </c>
    </row>
    <row r="387" spans="1:18" x14ac:dyDescent="0.25">
      <c r="A387" s="7" t="str">
        <f>Raw_Data!A387</f>
        <v>ORD-0386</v>
      </c>
      <c r="B387" s="8">
        <f>Raw_Data!B387</f>
        <v>45461</v>
      </c>
      <c r="C387" s="7" t="str">
        <f>TEXT(Raw_Data!B387,"MMM")</f>
        <v>Jun</v>
      </c>
      <c r="D387" s="7">
        <f>YEAR(Raw_Data!B387)</f>
        <v>2024</v>
      </c>
      <c r="E387" s="9" t="str">
        <f>Raw_Data!C387</f>
        <v>Deepa Patel</v>
      </c>
      <c r="F387" s="7" t="str">
        <f>Raw_Data!D387</f>
        <v>Kolkata</v>
      </c>
      <c r="G387" s="9" t="str">
        <f>Raw_Data!E387</f>
        <v>Ambroxol Syrup</v>
      </c>
      <c r="H387" s="7" t="str">
        <f>Raw_Data!F387</f>
        <v>Syrup</v>
      </c>
      <c r="I387" s="7">
        <f>Raw_Data!G387</f>
        <v>18</v>
      </c>
      <c r="J387" s="10">
        <f>Raw_Data!H387</f>
        <v>65</v>
      </c>
      <c r="K387" s="10">
        <f>Raw_Data!I387</f>
        <v>31.2</v>
      </c>
      <c r="L387" s="10">
        <f>Raw_Data!J387</f>
        <v>1170</v>
      </c>
      <c r="M387" s="11">
        <f>Raw_Data!K387</f>
        <v>20</v>
      </c>
      <c r="N387" s="10">
        <f>Raw_Data!L387</f>
        <v>936</v>
      </c>
      <c r="O387" s="10">
        <f t="shared" si="12"/>
        <v>608.4</v>
      </c>
      <c r="P387" s="14">
        <f t="shared" si="13"/>
        <v>0.52</v>
      </c>
      <c r="Q387" s="7" t="str">
        <f>Raw_Data!M387</f>
        <v>Cash</v>
      </c>
      <c r="R387" s="7" t="str">
        <f>Raw_Data!N387</f>
        <v>Yes</v>
      </c>
    </row>
    <row r="388" spans="1:18" x14ac:dyDescent="0.25">
      <c r="A388" s="2" t="str">
        <f>Raw_Data!A388</f>
        <v>ORD-0387</v>
      </c>
      <c r="B388" s="3">
        <f>Raw_Data!B388</f>
        <v>45317</v>
      </c>
      <c r="C388" s="2" t="str">
        <f>TEXT(Raw_Data!B388,"MMM")</f>
        <v>Jan</v>
      </c>
      <c r="D388" s="2">
        <f>YEAR(Raw_Data!B388)</f>
        <v>2024</v>
      </c>
      <c r="E388" s="4" t="str">
        <f>Raw_Data!C388</f>
        <v>Nisha Shah</v>
      </c>
      <c r="F388" s="2" t="str">
        <f>Raw_Data!D388</f>
        <v>Bangalore</v>
      </c>
      <c r="G388" s="4" t="str">
        <f>Raw_Data!E388</f>
        <v>Vitamin D3 60K</v>
      </c>
      <c r="H388" s="2" t="str">
        <f>Raw_Data!F388</f>
        <v>Capsule</v>
      </c>
      <c r="I388" s="2">
        <f>Raw_Data!G388</f>
        <v>2</v>
      </c>
      <c r="J388" s="5">
        <f>Raw_Data!H388</f>
        <v>55</v>
      </c>
      <c r="K388" s="5">
        <f>Raw_Data!I388</f>
        <v>27.5</v>
      </c>
      <c r="L388" s="5">
        <f>Raw_Data!J388</f>
        <v>110</v>
      </c>
      <c r="M388" s="6">
        <f>Raw_Data!K388</f>
        <v>10</v>
      </c>
      <c r="N388" s="5">
        <f>Raw_Data!L388</f>
        <v>99</v>
      </c>
      <c r="O388" s="5">
        <f t="shared" si="12"/>
        <v>55</v>
      </c>
      <c r="P388" s="13">
        <f t="shared" si="13"/>
        <v>0.5</v>
      </c>
      <c r="Q388" s="2" t="str">
        <f>Raw_Data!M388</f>
        <v>Cash</v>
      </c>
      <c r="R388" s="2" t="str">
        <f>Raw_Data!N388</f>
        <v>Yes</v>
      </c>
    </row>
    <row r="389" spans="1:18" x14ac:dyDescent="0.25">
      <c r="A389" s="7" t="str">
        <f>Raw_Data!A389</f>
        <v>ORD-0388</v>
      </c>
      <c r="B389" s="8">
        <f>Raw_Data!B389</f>
        <v>45394</v>
      </c>
      <c r="C389" s="7" t="str">
        <f>TEXT(Raw_Data!B389,"MMM")</f>
        <v>Apr</v>
      </c>
      <c r="D389" s="7">
        <f>YEAR(Raw_Data!B389)</f>
        <v>2024</v>
      </c>
      <c r="E389" s="9" t="str">
        <f>Raw_Data!C389</f>
        <v>Sunita Kumar</v>
      </c>
      <c r="F389" s="7" t="str">
        <f>Raw_Data!D389</f>
        <v>Hyderabad</v>
      </c>
      <c r="G389" s="9" t="str">
        <f>Raw_Data!E389</f>
        <v>Paracetamol 500mg</v>
      </c>
      <c r="H389" s="7" t="str">
        <f>Raw_Data!F389</f>
        <v>Tablet</v>
      </c>
      <c r="I389" s="7">
        <f>Raw_Data!G389</f>
        <v>6</v>
      </c>
      <c r="J389" s="10">
        <f>Raw_Data!H389</f>
        <v>20</v>
      </c>
      <c r="K389" s="10">
        <f>Raw_Data!I389</f>
        <v>10.4</v>
      </c>
      <c r="L389" s="10">
        <f>Raw_Data!J389</f>
        <v>120</v>
      </c>
      <c r="M389" s="11">
        <f>Raw_Data!K389</f>
        <v>5</v>
      </c>
      <c r="N389" s="10">
        <f>Raw_Data!L389</f>
        <v>114</v>
      </c>
      <c r="O389" s="10">
        <f t="shared" si="12"/>
        <v>57.599999999999994</v>
      </c>
      <c r="P389" s="14">
        <f t="shared" si="13"/>
        <v>0.47999999999999993</v>
      </c>
      <c r="Q389" s="7" t="str">
        <f>Raw_Data!M389</f>
        <v>Card</v>
      </c>
      <c r="R389" s="7" t="str">
        <f>Raw_Data!N389</f>
        <v>No</v>
      </c>
    </row>
    <row r="390" spans="1:18" x14ac:dyDescent="0.25">
      <c r="A390" s="2" t="str">
        <f>Raw_Data!A390</f>
        <v>ORD-0389</v>
      </c>
      <c r="B390" s="3">
        <f>Raw_Data!B390</f>
        <v>45495</v>
      </c>
      <c r="C390" s="2" t="str">
        <f>TEXT(Raw_Data!B390,"MMM")</f>
        <v>Jul</v>
      </c>
      <c r="D390" s="2">
        <f>YEAR(Raw_Data!B390)</f>
        <v>2024</v>
      </c>
      <c r="E390" s="4" t="str">
        <f>Raw_Data!C390</f>
        <v>Nikhil Joshi</v>
      </c>
      <c r="F390" s="2" t="str">
        <f>Raw_Data!D390</f>
        <v>Chennai</v>
      </c>
      <c r="G390" s="4" t="str">
        <f>Raw_Data!E390</f>
        <v>Vitamin D3 60K</v>
      </c>
      <c r="H390" s="2" t="str">
        <f>Raw_Data!F390</f>
        <v>Capsule</v>
      </c>
      <c r="I390" s="2">
        <f>Raw_Data!G390</f>
        <v>3</v>
      </c>
      <c r="J390" s="5">
        <f>Raw_Data!H390</f>
        <v>55</v>
      </c>
      <c r="K390" s="5">
        <f>Raw_Data!I390</f>
        <v>27.5</v>
      </c>
      <c r="L390" s="5">
        <f>Raw_Data!J390</f>
        <v>165</v>
      </c>
      <c r="M390" s="6">
        <f>Raw_Data!K390</f>
        <v>20</v>
      </c>
      <c r="N390" s="5">
        <f>Raw_Data!L390</f>
        <v>132</v>
      </c>
      <c r="O390" s="5">
        <f t="shared" si="12"/>
        <v>82.5</v>
      </c>
      <c r="P390" s="13">
        <f t="shared" si="13"/>
        <v>0.5</v>
      </c>
      <c r="Q390" s="2" t="str">
        <f>Raw_Data!M390</f>
        <v>Card</v>
      </c>
      <c r="R390" s="2" t="str">
        <f>Raw_Data!N390</f>
        <v>Yes</v>
      </c>
    </row>
    <row r="391" spans="1:18" x14ac:dyDescent="0.25">
      <c r="A391" s="7" t="str">
        <f>Raw_Data!A391</f>
        <v>ORD-0390</v>
      </c>
      <c r="B391" s="8">
        <f>Raw_Data!B391</f>
        <v>45387</v>
      </c>
      <c r="C391" s="7" t="str">
        <f>TEXT(Raw_Data!B391,"MMM")</f>
        <v>Apr</v>
      </c>
      <c r="D391" s="7">
        <f>YEAR(Raw_Data!B391)</f>
        <v>2024</v>
      </c>
      <c r="E391" s="9" t="str">
        <f>Raw_Data!C391</f>
        <v>Vijay Sharma</v>
      </c>
      <c r="F391" s="7" t="str">
        <f>Raw_Data!D391</f>
        <v>Chennai</v>
      </c>
      <c r="G391" s="9" t="str">
        <f>Raw_Data!E391</f>
        <v>Omeprazole 20mg</v>
      </c>
      <c r="H391" s="7" t="str">
        <f>Raw_Data!F391</f>
        <v>Capsule</v>
      </c>
      <c r="I391" s="7">
        <f>Raw_Data!G391</f>
        <v>15</v>
      </c>
      <c r="J391" s="10">
        <f>Raw_Data!H391</f>
        <v>40</v>
      </c>
      <c r="K391" s="10">
        <f>Raw_Data!I391</f>
        <v>20</v>
      </c>
      <c r="L391" s="10">
        <f>Raw_Data!J391</f>
        <v>600</v>
      </c>
      <c r="M391" s="11">
        <f>Raw_Data!K391</f>
        <v>15</v>
      </c>
      <c r="N391" s="10">
        <f>Raw_Data!L391</f>
        <v>510</v>
      </c>
      <c r="O391" s="10">
        <f t="shared" si="12"/>
        <v>300</v>
      </c>
      <c r="P391" s="14">
        <f t="shared" si="13"/>
        <v>0.5</v>
      </c>
      <c r="Q391" s="7" t="str">
        <f>Raw_Data!M391</f>
        <v>UPI</v>
      </c>
      <c r="R391" s="7" t="str">
        <f>Raw_Data!N391</f>
        <v>Yes</v>
      </c>
    </row>
    <row r="392" spans="1:18" x14ac:dyDescent="0.25">
      <c r="A392" s="2" t="str">
        <f>Raw_Data!A392</f>
        <v>ORD-0391</v>
      </c>
      <c r="B392" s="3">
        <f>Raw_Data!B392</f>
        <v>45369</v>
      </c>
      <c r="C392" s="2" t="str">
        <f>TEXT(Raw_Data!B392,"MMM")</f>
        <v>Mar</v>
      </c>
      <c r="D392" s="2">
        <f>YEAR(Raw_Data!B392)</f>
        <v>2024</v>
      </c>
      <c r="E392" s="4" t="str">
        <f>Raw_Data!C392</f>
        <v>Vijay Singh</v>
      </c>
      <c r="F392" s="2" t="str">
        <f>Raw_Data!D392</f>
        <v>Delhi</v>
      </c>
      <c r="G392" s="4" t="str">
        <f>Raw_Data!E392</f>
        <v>Antifungal Powder</v>
      </c>
      <c r="H392" s="2" t="str">
        <f>Raw_Data!F392</f>
        <v>Powder</v>
      </c>
      <c r="I392" s="2">
        <f>Raw_Data!G392</f>
        <v>3</v>
      </c>
      <c r="J392" s="5">
        <f>Raw_Data!H392</f>
        <v>55</v>
      </c>
      <c r="K392" s="5">
        <f>Raw_Data!I392</f>
        <v>30.25</v>
      </c>
      <c r="L392" s="5">
        <f>Raw_Data!J392</f>
        <v>165</v>
      </c>
      <c r="M392" s="6">
        <f>Raw_Data!K392</f>
        <v>10</v>
      </c>
      <c r="N392" s="5">
        <f>Raw_Data!L392</f>
        <v>148.5</v>
      </c>
      <c r="O392" s="5">
        <f t="shared" si="12"/>
        <v>74.25</v>
      </c>
      <c r="P392" s="13">
        <f t="shared" si="13"/>
        <v>0.45</v>
      </c>
      <c r="Q392" s="2" t="str">
        <f>Raw_Data!M392</f>
        <v>Card</v>
      </c>
      <c r="R392" s="2" t="str">
        <f>Raw_Data!N392</f>
        <v>No</v>
      </c>
    </row>
    <row r="393" spans="1:18" x14ac:dyDescent="0.25">
      <c r="A393" s="7" t="str">
        <f>Raw_Data!A393</f>
        <v>ORD-0392</v>
      </c>
      <c r="B393" s="8">
        <f>Raw_Data!B393</f>
        <v>45575</v>
      </c>
      <c r="C393" s="7" t="str">
        <f>TEXT(Raw_Data!B393,"MMM")</f>
        <v>Oct</v>
      </c>
      <c r="D393" s="7">
        <f>YEAR(Raw_Data!B393)</f>
        <v>2024</v>
      </c>
      <c r="E393" s="9" t="str">
        <f>Raw_Data!C393</f>
        <v>Vijay Nair</v>
      </c>
      <c r="F393" s="7" t="str">
        <f>Raw_Data!D393</f>
        <v>Jaipur</v>
      </c>
      <c r="G393" s="9" t="str">
        <f>Raw_Data!E393</f>
        <v>Aspirin 75mg</v>
      </c>
      <c r="H393" s="7" t="str">
        <f>Raw_Data!F393</f>
        <v>Tablet</v>
      </c>
      <c r="I393" s="7">
        <f>Raw_Data!G393</f>
        <v>14</v>
      </c>
      <c r="J393" s="10">
        <f>Raw_Data!H393</f>
        <v>18</v>
      </c>
      <c r="K393" s="10">
        <f>Raw_Data!I393</f>
        <v>9.36</v>
      </c>
      <c r="L393" s="10">
        <f>Raw_Data!J393</f>
        <v>252</v>
      </c>
      <c r="M393" s="11">
        <f>Raw_Data!K393</f>
        <v>20</v>
      </c>
      <c r="N393" s="10">
        <f>Raw_Data!L393</f>
        <v>201.6</v>
      </c>
      <c r="O393" s="10">
        <f t="shared" si="12"/>
        <v>120.96000000000001</v>
      </c>
      <c r="P393" s="14">
        <f t="shared" si="13"/>
        <v>0.48000000000000004</v>
      </c>
      <c r="Q393" s="7" t="str">
        <f>Raw_Data!M393</f>
        <v>UPI</v>
      </c>
      <c r="R393" s="7" t="str">
        <f>Raw_Data!N393</f>
        <v>No</v>
      </c>
    </row>
    <row r="394" spans="1:18" x14ac:dyDescent="0.25">
      <c r="A394" s="2" t="str">
        <f>Raw_Data!A394</f>
        <v>ORD-0393</v>
      </c>
      <c r="B394" s="3">
        <f>Raw_Data!B394</f>
        <v>45412</v>
      </c>
      <c r="C394" s="2" t="str">
        <f>TEXT(Raw_Data!B394,"MMM")</f>
        <v>Apr</v>
      </c>
      <c r="D394" s="2">
        <f>YEAR(Raw_Data!B394)</f>
        <v>2024</v>
      </c>
      <c r="E394" s="4" t="str">
        <f>Raw_Data!C394</f>
        <v>Vijay Agarwal</v>
      </c>
      <c r="F394" s="2" t="str">
        <f>Raw_Data!D394</f>
        <v>Delhi</v>
      </c>
      <c r="G394" s="4" t="str">
        <f>Raw_Data!E394</f>
        <v>Fluconazole 150mg</v>
      </c>
      <c r="H394" s="2" t="str">
        <f>Raw_Data!F394</f>
        <v>Capsule</v>
      </c>
      <c r="I394" s="2">
        <f>Raw_Data!G394</f>
        <v>13</v>
      </c>
      <c r="J394" s="5">
        <f>Raw_Data!H394</f>
        <v>75</v>
      </c>
      <c r="K394" s="5">
        <f>Raw_Data!I394</f>
        <v>37.5</v>
      </c>
      <c r="L394" s="5">
        <f>Raw_Data!J394</f>
        <v>975</v>
      </c>
      <c r="M394" s="6">
        <f>Raw_Data!K394</f>
        <v>0</v>
      </c>
      <c r="N394" s="5">
        <f>Raw_Data!L394</f>
        <v>975</v>
      </c>
      <c r="O394" s="5">
        <f t="shared" si="12"/>
        <v>487.5</v>
      </c>
      <c r="P394" s="13">
        <f t="shared" si="13"/>
        <v>0.5</v>
      </c>
      <c r="Q394" s="2" t="str">
        <f>Raw_Data!M394</f>
        <v>UPI</v>
      </c>
      <c r="R394" s="2" t="str">
        <f>Raw_Data!N394</f>
        <v>Yes</v>
      </c>
    </row>
    <row r="395" spans="1:18" x14ac:dyDescent="0.25">
      <c r="A395" s="7" t="str">
        <f>Raw_Data!A395</f>
        <v>ORD-0394</v>
      </c>
      <c r="B395" s="8">
        <f>Raw_Data!B395</f>
        <v>45609</v>
      </c>
      <c r="C395" s="7" t="str">
        <f>TEXT(Raw_Data!B395,"MMM")</f>
        <v>Nov</v>
      </c>
      <c r="D395" s="7">
        <f>YEAR(Raw_Data!B395)</f>
        <v>2024</v>
      </c>
      <c r="E395" s="9" t="str">
        <f>Raw_Data!C395</f>
        <v>Vikram Sharma</v>
      </c>
      <c r="F395" s="7" t="str">
        <f>Raw_Data!D395</f>
        <v>Ahmedabad</v>
      </c>
      <c r="G395" s="9" t="str">
        <f>Raw_Data!E395</f>
        <v>Benadryl Cough Syrup</v>
      </c>
      <c r="H395" s="7" t="str">
        <f>Raw_Data!F395</f>
        <v>Syrup</v>
      </c>
      <c r="I395" s="7">
        <f>Raw_Data!G395</f>
        <v>6</v>
      </c>
      <c r="J395" s="10">
        <f>Raw_Data!H395</f>
        <v>110</v>
      </c>
      <c r="K395" s="10">
        <f>Raw_Data!I395</f>
        <v>52.8</v>
      </c>
      <c r="L395" s="10">
        <f>Raw_Data!J395</f>
        <v>660</v>
      </c>
      <c r="M395" s="11">
        <f>Raw_Data!K395</f>
        <v>0</v>
      </c>
      <c r="N395" s="10">
        <f>Raw_Data!L395</f>
        <v>660</v>
      </c>
      <c r="O395" s="10">
        <f t="shared" si="12"/>
        <v>343.20000000000005</v>
      </c>
      <c r="P395" s="14">
        <f t="shared" si="13"/>
        <v>0.52</v>
      </c>
      <c r="Q395" s="7" t="str">
        <f>Raw_Data!M395</f>
        <v>UPI</v>
      </c>
      <c r="R395" s="7" t="str">
        <f>Raw_Data!N395</f>
        <v>No</v>
      </c>
    </row>
    <row r="396" spans="1:18" x14ac:dyDescent="0.25">
      <c r="A396" s="2" t="str">
        <f>Raw_Data!A396</f>
        <v>ORD-0395</v>
      </c>
      <c r="B396" s="3">
        <f>Raw_Data!B396</f>
        <v>45508</v>
      </c>
      <c r="C396" s="2" t="str">
        <f>TEXT(Raw_Data!B396,"MMM")</f>
        <v>Aug</v>
      </c>
      <c r="D396" s="2">
        <f>YEAR(Raw_Data!B396)</f>
        <v>2024</v>
      </c>
      <c r="E396" s="4" t="str">
        <f>Raw_Data!C396</f>
        <v>Amit Patel</v>
      </c>
      <c r="F396" s="2" t="str">
        <f>Raw_Data!D396</f>
        <v>Hyderabad</v>
      </c>
      <c r="G396" s="4" t="str">
        <f>Raw_Data!E396</f>
        <v>Aspirin 75mg</v>
      </c>
      <c r="H396" s="2" t="str">
        <f>Raw_Data!F396</f>
        <v>Tablet</v>
      </c>
      <c r="I396" s="2">
        <f>Raw_Data!G396</f>
        <v>5</v>
      </c>
      <c r="J396" s="5">
        <f>Raw_Data!H396</f>
        <v>18</v>
      </c>
      <c r="K396" s="5">
        <f>Raw_Data!I396</f>
        <v>9.36</v>
      </c>
      <c r="L396" s="5">
        <f>Raw_Data!J396</f>
        <v>90</v>
      </c>
      <c r="M396" s="6">
        <f>Raw_Data!K396</f>
        <v>5</v>
      </c>
      <c r="N396" s="5">
        <f>Raw_Data!L396</f>
        <v>85.5</v>
      </c>
      <c r="O396" s="5">
        <f t="shared" si="12"/>
        <v>43.2</v>
      </c>
      <c r="P396" s="13">
        <f t="shared" si="13"/>
        <v>0.48000000000000004</v>
      </c>
      <c r="Q396" s="2" t="str">
        <f>Raw_Data!M396</f>
        <v>UPI</v>
      </c>
      <c r="R396" s="2" t="str">
        <f>Raw_Data!N396</f>
        <v>Yes</v>
      </c>
    </row>
    <row r="397" spans="1:18" x14ac:dyDescent="0.25">
      <c r="A397" s="7" t="str">
        <f>Raw_Data!A397</f>
        <v>ORD-0396</v>
      </c>
      <c r="B397" s="8">
        <f>Raw_Data!B397</f>
        <v>45490</v>
      </c>
      <c r="C397" s="7" t="str">
        <f>TEXT(Raw_Data!B397,"MMM")</f>
        <v>Jul</v>
      </c>
      <c r="D397" s="7">
        <f>YEAR(Raw_Data!B397)</f>
        <v>2024</v>
      </c>
      <c r="E397" s="9" t="str">
        <f>Raw_Data!C397</f>
        <v>Rahul Dubey</v>
      </c>
      <c r="F397" s="7" t="str">
        <f>Raw_Data!D397</f>
        <v>Jaipur</v>
      </c>
      <c r="G397" s="9" t="str">
        <f>Raw_Data!E397</f>
        <v>Cipla Eye Drops</v>
      </c>
      <c r="H397" s="7" t="str">
        <f>Raw_Data!F397</f>
        <v>Drops</v>
      </c>
      <c r="I397" s="7">
        <f>Raw_Data!G397</f>
        <v>11</v>
      </c>
      <c r="J397" s="10">
        <f>Raw_Data!H397</f>
        <v>70</v>
      </c>
      <c r="K397" s="10">
        <f>Raw_Data!I397</f>
        <v>31.5</v>
      </c>
      <c r="L397" s="10">
        <f>Raw_Data!J397</f>
        <v>770</v>
      </c>
      <c r="M397" s="11">
        <f>Raw_Data!K397</f>
        <v>5</v>
      </c>
      <c r="N397" s="10">
        <f>Raw_Data!L397</f>
        <v>731.5</v>
      </c>
      <c r="O397" s="10">
        <f t="shared" si="12"/>
        <v>423.5</v>
      </c>
      <c r="P397" s="14">
        <f t="shared" si="13"/>
        <v>0.55000000000000004</v>
      </c>
      <c r="Q397" s="7" t="str">
        <f>Raw_Data!M397</f>
        <v>UPI</v>
      </c>
      <c r="R397" s="7" t="str">
        <f>Raw_Data!N397</f>
        <v>No</v>
      </c>
    </row>
    <row r="398" spans="1:18" x14ac:dyDescent="0.25">
      <c r="A398" s="2" t="str">
        <f>Raw_Data!A398</f>
        <v>ORD-0397</v>
      </c>
      <c r="B398" s="3">
        <f>Raw_Data!B398</f>
        <v>45650</v>
      </c>
      <c r="C398" s="2" t="str">
        <f>TEXT(Raw_Data!B398,"MMM")</f>
        <v>Dec</v>
      </c>
      <c r="D398" s="2">
        <f>YEAR(Raw_Data!B398)</f>
        <v>2024</v>
      </c>
      <c r="E398" s="4" t="str">
        <f>Raw_Data!C398</f>
        <v>Vijay Rao</v>
      </c>
      <c r="F398" s="2" t="str">
        <f>Raw_Data!D398</f>
        <v>Jaipur</v>
      </c>
      <c r="G398" s="4" t="str">
        <f>Raw_Data!E398</f>
        <v>Refresh Tears</v>
      </c>
      <c r="H398" s="2" t="str">
        <f>Raw_Data!F398</f>
        <v>Drops</v>
      </c>
      <c r="I398" s="2">
        <f>Raw_Data!G398</f>
        <v>14</v>
      </c>
      <c r="J398" s="5">
        <f>Raw_Data!H398</f>
        <v>110</v>
      </c>
      <c r="K398" s="5">
        <f>Raw_Data!I398</f>
        <v>49.5</v>
      </c>
      <c r="L398" s="5">
        <f>Raw_Data!J398</f>
        <v>1540</v>
      </c>
      <c r="M398" s="6">
        <f>Raw_Data!K398</f>
        <v>0</v>
      </c>
      <c r="N398" s="5">
        <f>Raw_Data!L398</f>
        <v>1540</v>
      </c>
      <c r="O398" s="5">
        <f t="shared" si="12"/>
        <v>847</v>
      </c>
      <c r="P398" s="13">
        <f t="shared" si="13"/>
        <v>0.55000000000000004</v>
      </c>
      <c r="Q398" s="2" t="str">
        <f>Raw_Data!M398</f>
        <v>Cash</v>
      </c>
      <c r="R398" s="2" t="str">
        <f>Raw_Data!N398</f>
        <v>No</v>
      </c>
    </row>
    <row r="399" spans="1:18" x14ac:dyDescent="0.25">
      <c r="A399" s="7" t="str">
        <f>Raw_Data!A399</f>
        <v>ORD-0398</v>
      </c>
      <c r="B399" s="8">
        <f>Raw_Data!B399</f>
        <v>45343</v>
      </c>
      <c r="C399" s="7" t="str">
        <f>TEXT(Raw_Data!B399,"MMM")</f>
        <v>Feb</v>
      </c>
      <c r="D399" s="7">
        <f>YEAR(Raw_Data!B399)</f>
        <v>2024</v>
      </c>
      <c r="E399" s="9" t="str">
        <f>Raw_Data!C399</f>
        <v>Suresh Mehta</v>
      </c>
      <c r="F399" s="7" t="str">
        <f>Raw_Data!D399</f>
        <v>Delhi</v>
      </c>
      <c r="G399" s="9" t="str">
        <f>Raw_Data!E399</f>
        <v>Losartan 50mg</v>
      </c>
      <c r="H399" s="7" t="str">
        <f>Raw_Data!F399</f>
        <v>Tablet</v>
      </c>
      <c r="I399" s="7">
        <f>Raw_Data!G399</f>
        <v>10</v>
      </c>
      <c r="J399" s="10">
        <f>Raw_Data!H399</f>
        <v>95</v>
      </c>
      <c r="K399" s="10">
        <f>Raw_Data!I399</f>
        <v>49.4</v>
      </c>
      <c r="L399" s="10">
        <f>Raw_Data!J399</f>
        <v>950</v>
      </c>
      <c r="M399" s="11">
        <f>Raw_Data!K399</f>
        <v>20</v>
      </c>
      <c r="N399" s="10">
        <f>Raw_Data!L399</f>
        <v>760</v>
      </c>
      <c r="O399" s="10">
        <f t="shared" si="12"/>
        <v>456</v>
      </c>
      <c r="P399" s="14">
        <f t="shared" si="13"/>
        <v>0.48</v>
      </c>
      <c r="Q399" s="7" t="str">
        <f>Raw_Data!M399</f>
        <v>UPI</v>
      </c>
      <c r="R399" s="7" t="str">
        <f>Raw_Data!N399</f>
        <v>No</v>
      </c>
    </row>
    <row r="400" spans="1:18" x14ac:dyDescent="0.25">
      <c r="A400" s="2" t="str">
        <f>Raw_Data!A400</f>
        <v>ORD-0399</v>
      </c>
      <c r="B400" s="3">
        <f>Raw_Data!B400</f>
        <v>45627</v>
      </c>
      <c r="C400" s="2" t="str">
        <f>TEXT(Raw_Data!B400,"MMM")</f>
        <v>Dec</v>
      </c>
      <c r="D400" s="2">
        <f>YEAR(Raw_Data!B400)</f>
        <v>2024</v>
      </c>
      <c r="E400" s="4" t="str">
        <f>Raw_Data!C400</f>
        <v>Nikhil Sharma</v>
      </c>
      <c r="F400" s="2" t="str">
        <f>Raw_Data!D400</f>
        <v>Mumbai</v>
      </c>
      <c r="G400" s="4" t="str">
        <f>Raw_Data!E400</f>
        <v>Vitamin D3 60K</v>
      </c>
      <c r="H400" s="2" t="str">
        <f>Raw_Data!F400</f>
        <v>Capsule</v>
      </c>
      <c r="I400" s="2">
        <f>Raw_Data!G400</f>
        <v>6</v>
      </c>
      <c r="J400" s="5">
        <f>Raw_Data!H400</f>
        <v>55</v>
      </c>
      <c r="K400" s="5">
        <f>Raw_Data!I400</f>
        <v>27.5</v>
      </c>
      <c r="L400" s="5">
        <f>Raw_Data!J400</f>
        <v>330</v>
      </c>
      <c r="M400" s="6">
        <f>Raw_Data!K400</f>
        <v>5</v>
      </c>
      <c r="N400" s="5">
        <f>Raw_Data!L400</f>
        <v>313.5</v>
      </c>
      <c r="O400" s="5">
        <f t="shared" si="12"/>
        <v>165</v>
      </c>
      <c r="P400" s="13">
        <f t="shared" si="13"/>
        <v>0.5</v>
      </c>
      <c r="Q400" s="2" t="str">
        <f>Raw_Data!M400</f>
        <v>UPI</v>
      </c>
      <c r="R400" s="2" t="str">
        <f>Raw_Data!N400</f>
        <v>Yes</v>
      </c>
    </row>
    <row r="401" spans="1:18" x14ac:dyDescent="0.25">
      <c r="A401" s="7" t="str">
        <f>Raw_Data!A401</f>
        <v>ORD-0400</v>
      </c>
      <c r="B401" s="8">
        <f>Raw_Data!B401</f>
        <v>45494</v>
      </c>
      <c r="C401" s="7" t="str">
        <f>TEXT(Raw_Data!B401,"MMM")</f>
        <v>Jul</v>
      </c>
      <c r="D401" s="7">
        <f>YEAR(Raw_Data!B401)</f>
        <v>2024</v>
      </c>
      <c r="E401" s="9" t="str">
        <f>Raw_Data!C401</f>
        <v>Kavita Kumar</v>
      </c>
      <c r="F401" s="7" t="str">
        <f>Raw_Data!D401</f>
        <v>Mumbai</v>
      </c>
      <c r="G401" s="9" t="str">
        <f>Raw_Data!E401</f>
        <v>Ondansetron Inj</v>
      </c>
      <c r="H401" s="7" t="str">
        <f>Raw_Data!F401</f>
        <v>Injection</v>
      </c>
      <c r="I401" s="7">
        <f>Raw_Data!G401</f>
        <v>16</v>
      </c>
      <c r="J401" s="10">
        <f>Raw_Data!H401</f>
        <v>120</v>
      </c>
      <c r="K401" s="10">
        <f>Raw_Data!I401</f>
        <v>72</v>
      </c>
      <c r="L401" s="10">
        <f>Raw_Data!J401</f>
        <v>1920</v>
      </c>
      <c r="M401" s="11">
        <f>Raw_Data!K401</f>
        <v>5</v>
      </c>
      <c r="N401" s="10">
        <f>Raw_Data!L401</f>
        <v>1824</v>
      </c>
      <c r="O401" s="10">
        <f t="shared" si="12"/>
        <v>768</v>
      </c>
      <c r="P401" s="14">
        <f t="shared" si="13"/>
        <v>0.4</v>
      </c>
      <c r="Q401" s="7" t="str">
        <f>Raw_Data!M401</f>
        <v>Cash</v>
      </c>
      <c r="R401" s="7" t="str">
        <f>Raw_Data!N401</f>
        <v>Yes</v>
      </c>
    </row>
    <row r="402" spans="1:18" x14ac:dyDescent="0.25">
      <c r="A402" s="2" t="str">
        <f>Raw_Data!A402</f>
        <v>ORD-0401</v>
      </c>
      <c r="B402" s="3">
        <f>Raw_Data!B402</f>
        <v>45435</v>
      </c>
      <c r="C402" s="2" t="str">
        <f>TEXT(Raw_Data!B402,"MMM")</f>
        <v>May</v>
      </c>
      <c r="D402" s="2">
        <f>YEAR(Raw_Data!B402)</f>
        <v>2024</v>
      </c>
      <c r="E402" s="4" t="str">
        <f>Raw_Data!C402</f>
        <v>Arjun Kumar</v>
      </c>
      <c r="F402" s="2" t="str">
        <f>Raw_Data!D402</f>
        <v>Delhi</v>
      </c>
      <c r="G402" s="4" t="str">
        <f>Raw_Data!E402</f>
        <v>Protein Supplement</v>
      </c>
      <c r="H402" s="2" t="str">
        <f>Raw_Data!F402</f>
        <v>Powder</v>
      </c>
      <c r="I402" s="2">
        <f>Raw_Data!G402</f>
        <v>8</v>
      </c>
      <c r="J402" s="5">
        <f>Raw_Data!H402</f>
        <v>450</v>
      </c>
      <c r="K402" s="5">
        <f>Raw_Data!I402</f>
        <v>247.5</v>
      </c>
      <c r="L402" s="5">
        <f>Raw_Data!J402</f>
        <v>3600</v>
      </c>
      <c r="M402" s="6">
        <f>Raw_Data!K402</f>
        <v>0</v>
      </c>
      <c r="N402" s="5">
        <f>Raw_Data!L402</f>
        <v>3600</v>
      </c>
      <c r="O402" s="5">
        <f t="shared" si="12"/>
        <v>1620</v>
      </c>
      <c r="P402" s="13">
        <f t="shared" si="13"/>
        <v>0.45</v>
      </c>
      <c r="Q402" s="2" t="str">
        <f>Raw_Data!M402</f>
        <v>UPI</v>
      </c>
      <c r="R402" s="2" t="str">
        <f>Raw_Data!N402</f>
        <v>No</v>
      </c>
    </row>
    <row r="403" spans="1:18" x14ac:dyDescent="0.25">
      <c r="A403" s="7" t="str">
        <f>Raw_Data!A403</f>
        <v>ORD-0402</v>
      </c>
      <c r="B403" s="8">
        <f>Raw_Data!B403</f>
        <v>45505</v>
      </c>
      <c r="C403" s="7" t="str">
        <f>TEXT(Raw_Data!B403,"MMM")</f>
        <v>Aug</v>
      </c>
      <c r="D403" s="7">
        <f>YEAR(Raw_Data!B403)</f>
        <v>2024</v>
      </c>
      <c r="E403" s="9" t="str">
        <f>Raw_Data!C403</f>
        <v>Rekha Dubey</v>
      </c>
      <c r="F403" s="7" t="str">
        <f>Raw_Data!D403</f>
        <v>Delhi</v>
      </c>
      <c r="G403" s="9" t="str">
        <f>Raw_Data!E403</f>
        <v>Refresh Tears</v>
      </c>
      <c r="H403" s="7" t="str">
        <f>Raw_Data!F403</f>
        <v>Drops</v>
      </c>
      <c r="I403" s="7">
        <f>Raw_Data!G403</f>
        <v>7</v>
      </c>
      <c r="J403" s="10">
        <f>Raw_Data!H403</f>
        <v>110</v>
      </c>
      <c r="K403" s="10">
        <f>Raw_Data!I403</f>
        <v>49.5</v>
      </c>
      <c r="L403" s="10">
        <f>Raw_Data!J403</f>
        <v>770</v>
      </c>
      <c r="M403" s="11">
        <f>Raw_Data!K403</f>
        <v>15</v>
      </c>
      <c r="N403" s="10">
        <f>Raw_Data!L403</f>
        <v>654.5</v>
      </c>
      <c r="O403" s="10">
        <f t="shared" si="12"/>
        <v>423.5</v>
      </c>
      <c r="P403" s="14">
        <f t="shared" si="13"/>
        <v>0.55000000000000004</v>
      </c>
      <c r="Q403" s="7" t="str">
        <f>Raw_Data!M403</f>
        <v>UPI</v>
      </c>
      <c r="R403" s="7" t="str">
        <f>Raw_Data!N403</f>
        <v>Yes</v>
      </c>
    </row>
    <row r="404" spans="1:18" x14ac:dyDescent="0.25">
      <c r="A404" s="2" t="str">
        <f>Raw_Data!A404</f>
        <v>ORD-0403</v>
      </c>
      <c r="B404" s="3">
        <f>Raw_Data!B404</f>
        <v>45556</v>
      </c>
      <c r="C404" s="2" t="str">
        <f>TEXT(Raw_Data!B404,"MMM")</f>
        <v>Sep</v>
      </c>
      <c r="D404" s="2">
        <f>YEAR(Raw_Data!B404)</f>
        <v>2024</v>
      </c>
      <c r="E404" s="4" t="str">
        <f>Raw_Data!C404</f>
        <v>Nikhil Gupta</v>
      </c>
      <c r="F404" s="2" t="str">
        <f>Raw_Data!D404</f>
        <v>Mumbai</v>
      </c>
      <c r="G404" s="4" t="str">
        <f>Raw_Data!E404</f>
        <v>Protein Supplement</v>
      </c>
      <c r="H404" s="2" t="str">
        <f>Raw_Data!F404</f>
        <v>Powder</v>
      </c>
      <c r="I404" s="2">
        <f>Raw_Data!G404</f>
        <v>17</v>
      </c>
      <c r="J404" s="5">
        <f>Raw_Data!H404</f>
        <v>450</v>
      </c>
      <c r="K404" s="5">
        <f>Raw_Data!I404</f>
        <v>247.5</v>
      </c>
      <c r="L404" s="5">
        <f>Raw_Data!J404</f>
        <v>7650</v>
      </c>
      <c r="M404" s="6">
        <f>Raw_Data!K404</f>
        <v>0</v>
      </c>
      <c r="N404" s="5">
        <f>Raw_Data!L404</f>
        <v>7650</v>
      </c>
      <c r="O404" s="5">
        <f t="shared" si="12"/>
        <v>3442.5</v>
      </c>
      <c r="P404" s="13">
        <f t="shared" si="13"/>
        <v>0.45</v>
      </c>
      <c r="Q404" s="2" t="str">
        <f>Raw_Data!M404</f>
        <v>UPI</v>
      </c>
      <c r="R404" s="2" t="str">
        <f>Raw_Data!N404</f>
        <v>Yes</v>
      </c>
    </row>
    <row r="405" spans="1:18" x14ac:dyDescent="0.25">
      <c r="A405" s="7" t="str">
        <f>Raw_Data!A405</f>
        <v>ORD-0404</v>
      </c>
      <c r="B405" s="8">
        <f>Raw_Data!B405</f>
        <v>45560</v>
      </c>
      <c r="C405" s="7" t="str">
        <f>TEXT(Raw_Data!B405,"MMM")</f>
        <v>Sep</v>
      </c>
      <c r="D405" s="7">
        <f>YEAR(Raw_Data!B405)</f>
        <v>2024</v>
      </c>
      <c r="E405" s="9" t="str">
        <f>Raw_Data!C405</f>
        <v>Sanjay Sharma</v>
      </c>
      <c r="F405" s="7" t="str">
        <f>Raw_Data!D405</f>
        <v>Bangalore</v>
      </c>
      <c r="G405" s="9" t="str">
        <f>Raw_Data!E405</f>
        <v>Otrivin Nasal Drops</v>
      </c>
      <c r="H405" s="7" t="str">
        <f>Raw_Data!F405</f>
        <v>Drops</v>
      </c>
      <c r="I405" s="7">
        <f>Raw_Data!G405</f>
        <v>7</v>
      </c>
      <c r="J405" s="10">
        <f>Raw_Data!H405</f>
        <v>95</v>
      </c>
      <c r="K405" s="10">
        <f>Raw_Data!I405</f>
        <v>42.75</v>
      </c>
      <c r="L405" s="10">
        <f>Raw_Data!J405</f>
        <v>665</v>
      </c>
      <c r="M405" s="11">
        <f>Raw_Data!K405</f>
        <v>5</v>
      </c>
      <c r="N405" s="10">
        <f>Raw_Data!L405</f>
        <v>631.75</v>
      </c>
      <c r="O405" s="10">
        <f t="shared" si="12"/>
        <v>365.75</v>
      </c>
      <c r="P405" s="14">
        <f t="shared" si="13"/>
        <v>0.55000000000000004</v>
      </c>
      <c r="Q405" s="7" t="str">
        <f>Raw_Data!M405</f>
        <v>Cash</v>
      </c>
      <c r="R405" s="7" t="str">
        <f>Raw_Data!N405</f>
        <v>No</v>
      </c>
    </row>
    <row r="406" spans="1:18" x14ac:dyDescent="0.25">
      <c r="A406" s="2" t="str">
        <f>Raw_Data!A406</f>
        <v>ORD-0405</v>
      </c>
      <c r="B406" s="3">
        <f>Raw_Data!B406</f>
        <v>45476</v>
      </c>
      <c r="C406" s="2" t="str">
        <f>TEXT(Raw_Data!B406,"MMM")</f>
        <v>Jul</v>
      </c>
      <c r="D406" s="2">
        <f>YEAR(Raw_Data!B406)</f>
        <v>2024</v>
      </c>
      <c r="E406" s="4" t="str">
        <f>Raw_Data!C406</f>
        <v>Sunita Agarwal</v>
      </c>
      <c r="F406" s="2" t="str">
        <f>Raw_Data!D406</f>
        <v>Chennai</v>
      </c>
      <c r="G406" s="4" t="str">
        <f>Raw_Data!E406</f>
        <v>Betadine Cream</v>
      </c>
      <c r="H406" s="2" t="str">
        <f>Raw_Data!F406</f>
        <v>Cream</v>
      </c>
      <c r="I406" s="2">
        <f>Raw_Data!G406</f>
        <v>12</v>
      </c>
      <c r="J406" s="5">
        <f>Raw_Data!H406</f>
        <v>85</v>
      </c>
      <c r="K406" s="5">
        <f>Raw_Data!I406</f>
        <v>39.950000000000003</v>
      </c>
      <c r="L406" s="5">
        <f>Raw_Data!J406</f>
        <v>1020</v>
      </c>
      <c r="M406" s="6">
        <f>Raw_Data!K406</f>
        <v>15</v>
      </c>
      <c r="N406" s="5">
        <f>Raw_Data!L406</f>
        <v>867</v>
      </c>
      <c r="O406" s="5">
        <f t="shared" si="12"/>
        <v>540.59999999999991</v>
      </c>
      <c r="P406" s="13">
        <f t="shared" si="13"/>
        <v>0.52999999999999992</v>
      </c>
      <c r="Q406" s="2" t="str">
        <f>Raw_Data!M406</f>
        <v>UPI</v>
      </c>
      <c r="R406" s="2" t="str">
        <f>Raw_Data!N406</f>
        <v>No</v>
      </c>
    </row>
    <row r="407" spans="1:18" x14ac:dyDescent="0.25">
      <c r="A407" s="7" t="str">
        <f>Raw_Data!A407</f>
        <v>ORD-0406</v>
      </c>
      <c r="B407" s="8">
        <f>Raw_Data!B407</f>
        <v>45307</v>
      </c>
      <c r="C407" s="7" t="str">
        <f>TEXT(Raw_Data!B407,"MMM")</f>
        <v>Jan</v>
      </c>
      <c r="D407" s="7">
        <f>YEAR(Raw_Data!B407)</f>
        <v>2024</v>
      </c>
      <c r="E407" s="9" t="str">
        <f>Raw_Data!C407</f>
        <v>Vijay Verma</v>
      </c>
      <c r="F407" s="7" t="str">
        <f>Raw_Data!D407</f>
        <v>Ahmedabad</v>
      </c>
      <c r="G407" s="9" t="str">
        <f>Raw_Data!E407</f>
        <v>Paracetamol Syrup</v>
      </c>
      <c r="H407" s="7" t="str">
        <f>Raw_Data!F407</f>
        <v>Syrup</v>
      </c>
      <c r="I407" s="7">
        <f>Raw_Data!G407</f>
        <v>20</v>
      </c>
      <c r="J407" s="10">
        <f>Raw_Data!H407</f>
        <v>45</v>
      </c>
      <c r="K407" s="10">
        <f>Raw_Data!I407</f>
        <v>21.6</v>
      </c>
      <c r="L407" s="10">
        <f>Raw_Data!J407</f>
        <v>900</v>
      </c>
      <c r="M407" s="11">
        <f>Raw_Data!K407</f>
        <v>15</v>
      </c>
      <c r="N407" s="10">
        <f>Raw_Data!L407</f>
        <v>765</v>
      </c>
      <c r="O407" s="10">
        <f t="shared" si="12"/>
        <v>468</v>
      </c>
      <c r="P407" s="14">
        <f t="shared" si="13"/>
        <v>0.52</v>
      </c>
      <c r="Q407" s="7" t="str">
        <f>Raw_Data!M407</f>
        <v>UPI</v>
      </c>
      <c r="R407" s="7" t="str">
        <f>Raw_Data!N407</f>
        <v>Yes</v>
      </c>
    </row>
    <row r="408" spans="1:18" x14ac:dyDescent="0.25">
      <c r="A408" s="2" t="str">
        <f>Raw_Data!A408</f>
        <v>ORD-0407</v>
      </c>
      <c r="B408" s="3">
        <f>Raw_Data!B408</f>
        <v>45471</v>
      </c>
      <c r="C408" s="2" t="str">
        <f>TEXT(Raw_Data!B408,"MMM")</f>
        <v>Jun</v>
      </c>
      <c r="D408" s="2">
        <f>YEAR(Raw_Data!B408)</f>
        <v>2024</v>
      </c>
      <c r="E408" s="4" t="str">
        <f>Raw_Data!C408</f>
        <v>Vijay Dubey</v>
      </c>
      <c r="F408" s="2" t="str">
        <f>Raw_Data!D408</f>
        <v>Chennai</v>
      </c>
      <c r="G408" s="4" t="str">
        <f>Raw_Data!E408</f>
        <v>Ondansetron Inj</v>
      </c>
      <c r="H408" s="2" t="str">
        <f>Raw_Data!F408</f>
        <v>Injection</v>
      </c>
      <c r="I408" s="2">
        <f>Raw_Data!G408</f>
        <v>3</v>
      </c>
      <c r="J408" s="5">
        <f>Raw_Data!H408</f>
        <v>120</v>
      </c>
      <c r="K408" s="5">
        <f>Raw_Data!I408</f>
        <v>72</v>
      </c>
      <c r="L408" s="5">
        <f>Raw_Data!J408</f>
        <v>360</v>
      </c>
      <c r="M408" s="6">
        <f>Raw_Data!K408</f>
        <v>5</v>
      </c>
      <c r="N408" s="5">
        <f>Raw_Data!L408</f>
        <v>342</v>
      </c>
      <c r="O408" s="5">
        <f t="shared" si="12"/>
        <v>144</v>
      </c>
      <c r="P408" s="13">
        <f t="shared" si="13"/>
        <v>0.4</v>
      </c>
      <c r="Q408" s="2" t="str">
        <f>Raw_Data!M408</f>
        <v>Cash</v>
      </c>
      <c r="R408" s="2" t="str">
        <f>Raw_Data!N408</f>
        <v>Yes</v>
      </c>
    </row>
    <row r="409" spans="1:18" x14ac:dyDescent="0.25">
      <c r="A409" s="7" t="str">
        <f>Raw_Data!A409</f>
        <v>ORD-0408</v>
      </c>
      <c r="B409" s="8">
        <f>Raw_Data!B409</f>
        <v>45401</v>
      </c>
      <c r="C409" s="7" t="str">
        <f>TEXT(Raw_Data!B409,"MMM")</f>
        <v>Apr</v>
      </c>
      <c r="D409" s="7">
        <f>YEAR(Raw_Data!B409)</f>
        <v>2024</v>
      </c>
      <c r="E409" s="9" t="str">
        <f>Raw_Data!C409</f>
        <v>Rahul Shah</v>
      </c>
      <c r="F409" s="7" t="str">
        <f>Raw_Data!D409</f>
        <v>Hyderabad</v>
      </c>
      <c r="G409" s="9" t="str">
        <f>Raw_Data!E409</f>
        <v>ORS Electrolyte</v>
      </c>
      <c r="H409" s="7" t="str">
        <f>Raw_Data!F409</f>
        <v>Powder</v>
      </c>
      <c r="I409" s="7">
        <f>Raw_Data!G409</f>
        <v>7</v>
      </c>
      <c r="J409" s="10">
        <f>Raw_Data!H409</f>
        <v>30</v>
      </c>
      <c r="K409" s="10">
        <f>Raw_Data!I409</f>
        <v>16.5</v>
      </c>
      <c r="L409" s="10">
        <f>Raw_Data!J409</f>
        <v>210</v>
      </c>
      <c r="M409" s="11">
        <f>Raw_Data!K409</f>
        <v>5</v>
      </c>
      <c r="N409" s="10">
        <f>Raw_Data!L409</f>
        <v>199.5</v>
      </c>
      <c r="O409" s="10">
        <f t="shared" si="12"/>
        <v>94.5</v>
      </c>
      <c r="P409" s="14">
        <f t="shared" si="13"/>
        <v>0.45</v>
      </c>
      <c r="Q409" s="7" t="str">
        <f>Raw_Data!M409</f>
        <v>Card</v>
      </c>
      <c r="R409" s="7" t="str">
        <f>Raw_Data!N409</f>
        <v>No</v>
      </c>
    </row>
    <row r="410" spans="1:18" x14ac:dyDescent="0.25">
      <c r="A410" s="2" t="str">
        <f>Raw_Data!A410</f>
        <v>ORD-0409</v>
      </c>
      <c r="B410" s="3">
        <f>Raw_Data!B410</f>
        <v>45359</v>
      </c>
      <c r="C410" s="2" t="str">
        <f>TEXT(Raw_Data!B410,"MMM")</f>
        <v>Mar</v>
      </c>
      <c r="D410" s="2">
        <f>YEAR(Raw_Data!B410)</f>
        <v>2024</v>
      </c>
      <c r="E410" s="4" t="str">
        <f>Raw_Data!C410</f>
        <v>Kavita Tiwari</v>
      </c>
      <c r="F410" s="2" t="str">
        <f>Raw_Data!D410</f>
        <v>Surat</v>
      </c>
      <c r="G410" s="4" t="str">
        <f>Raw_Data!E410</f>
        <v>Betadine Cream</v>
      </c>
      <c r="H410" s="2" t="str">
        <f>Raw_Data!F410</f>
        <v>Cream</v>
      </c>
      <c r="I410" s="2">
        <f>Raw_Data!G410</f>
        <v>1</v>
      </c>
      <c r="J410" s="5">
        <f>Raw_Data!H410</f>
        <v>85</v>
      </c>
      <c r="K410" s="5">
        <f>Raw_Data!I410</f>
        <v>39.950000000000003</v>
      </c>
      <c r="L410" s="5">
        <f>Raw_Data!J410</f>
        <v>85</v>
      </c>
      <c r="M410" s="6">
        <f>Raw_Data!K410</f>
        <v>5</v>
      </c>
      <c r="N410" s="5">
        <f>Raw_Data!L410</f>
        <v>80.75</v>
      </c>
      <c r="O410" s="5">
        <f t="shared" si="12"/>
        <v>45.05</v>
      </c>
      <c r="P410" s="13">
        <f t="shared" si="13"/>
        <v>0.52999999999999992</v>
      </c>
      <c r="Q410" s="2" t="str">
        <f>Raw_Data!M410</f>
        <v>UPI</v>
      </c>
      <c r="R410" s="2" t="str">
        <f>Raw_Data!N410</f>
        <v>No</v>
      </c>
    </row>
    <row r="411" spans="1:18" x14ac:dyDescent="0.25">
      <c r="A411" s="7" t="str">
        <f>Raw_Data!A411</f>
        <v>ORD-0410</v>
      </c>
      <c r="B411" s="8">
        <f>Raw_Data!B411</f>
        <v>45655</v>
      </c>
      <c r="C411" s="7" t="str">
        <f>TEXT(Raw_Data!B411,"MMM")</f>
        <v>Dec</v>
      </c>
      <c r="D411" s="7">
        <f>YEAR(Raw_Data!B411)</f>
        <v>2024</v>
      </c>
      <c r="E411" s="9" t="str">
        <f>Raw_Data!C411</f>
        <v>Kavita Agarwal</v>
      </c>
      <c r="F411" s="7" t="str">
        <f>Raw_Data!D411</f>
        <v>Kolkata</v>
      </c>
      <c r="G411" s="9" t="str">
        <f>Raw_Data!E411</f>
        <v>Candid Cream</v>
      </c>
      <c r="H411" s="7" t="str">
        <f>Raw_Data!F411</f>
        <v>Cream</v>
      </c>
      <c r="I411" s="7">
        <f>Raw_Data!G411</f>
        <v>13</v>
      </c>
      <c r="J411" s="10">
        <f>Raw_Data!H411</f>
        <v>65</v>
      </c>
      <c r="K411" s="10">
        <f>Raw_Data!I411</f>
        <v>30.55</v>
      </c>
      <c r="L411" s="10">
        <f>Raw_Data!J411</f>
        <v>845</v>
      </c>
      <c r="M411" s="11">
        <f>Raw_Data!K411</f>
        <v>10</v>
      </c>
      <c r="N411" s="10">
        <f>Raw_Data!L411</f>
        <v>760.5</v>
      </c>
      <c r="O411" s="10">
        <f t="shared" si="12"/>
        <v>447.84999999999997</v>
      </c>
      <c r="P411" s="14">
        <f t="shared" si="13"/>
        <v>0.52999999999999992</v>
      </c>
      <c r="Q411" s="7" t="str">
        <f>Raw_Data!M411</f>
        <v>Cash</v>
      </c>
      <c r="R411" s="7" t="str">
        <f>Raw_Data!N411</f>
        <v>No</v>
      </c>
    </row>
    <row r="412" spans="1:18" x14ac:dyDescent="0.25">
      <c r="A412" s="2" t="str">
        <f>Raw_Data!A412</f>
        <v>ORD-0411</v>
      </c>
      <c r="B412" s="3">
        <f>Raw_Data!B412</f>
        <v>45558</v>
      </c>
      <c r="C412" s="2" t="str">
        <f>TEXT(Raw_Data!B412,"MMM")</f>
        <v>Sep</v>
      </c>
      <c r="D412" s="2">
        <f>YEAR(Raw_Data!B412)</f>
        <v>2024</v>
      </c>
      <c r="E412" s="4" t="str">
        <f>Raw_Data!C412</f>
        <v>Meera Verma</v>
      </c>
      <c r="F412" s="2" t="str">
        <f>Raw_Data!D412</f>
        <v>Kolkata</v>
      </c>
      <c r="G412" s="4" t="str">
        <f>Raw_Data!E412</f>
        <v>Antifungal Powder</v>
      </c>
      <c r="H412" s="2" t="str">
        <f>Raw_Data!F412</f>
        <v>Powder</v>
      </c>
      <c r="I412" s="2">
        <f>Raw_Data!G412</f>
        <v>19</v>
      </c>
      <c r="J412" s="5">
        <f>Raw_Data!H412</f>
        <v>55</v>
      </c>
      <c r="K412" s="5">
        <f>Raw_Data!I412</f>
        <v>30.25</v>
      </c>
      <c r="L412" s="5">
        <f>Raw_Data!J412</f>
        <v>1045</v>
      </c>
      <c r="M412" s="6">
        <f>Raw_Data!K412</f>
        <v>0</v>
      </c>
      <c r="N412" s="5">
        <f>Raw_Data!L412</f>
        <v>1045</v>
      </c>
      <c r="O412" s="5">
        <f t="shared" si="12"/>
        <v>470.25</v>
      </c>
      <c r="P412" s="13">
        <f t="shared" si="13"/>
        <v>0.45</v>
      </c>
      <c r="Q412" s="2" t="str">
        <f>Raw_Data!M412</f>
        <v>UPI</v>
      </c>
      <c r="R412" s="2" t="str">
        <f>Raw_Data!N412</f>
        <v>Yes</v>
      </c>
    </row>
    <row r="413" spans="1:18" x14ac:dyDescent="0.25">
      <c r="A413" s="7" t="str">
        <f>Raw_Data!A413</f>
        <v>ORD-0412</v>
      </c>
      <c r="B413" s="8">
        <f>Raw_Data!B413</f>
        <v>45623</v>
      </c>
      <c r="C413" s="7" t="str">
        <f>TEXT(Raw_Data!B413,"MMM")</f>
        <v>Nov</v>
      </c>
      <c r="D413" s="7">
        <f>YEAR(Raw_Data!B413)</f>
        <v>2024</v>
      </c>
      <c r="E413" s="9" t="str">
        <f>Raw_Data!C413</f>
        <v>Suresh Agarwal</v>
      </c>
      <c r="F413" s="7" t="str">
        <f>Raw_Data!D413</f>
        <v>Chennai</v>
      </c>
      <c r="G413" s="9" t="str">
        <f>Raw_Data!E413</f>
        <v>Refresh Tears</v>
      </c>
      <c r="H413" s="7" t="str">
        <f>Raw_Data!F413</f>
        <v>Drops</v>
      </c>
      <c r="I413" s="7">
        <f>Raw_Data!G413</f>
        <v>10</v>
      </c>
      <c r="J413" s="10">
        <f>Raw_Data!H413</f>
        <v>110</v>
      </c>
      <c r="K413" s="10">
        <f>Raw_Data!I413</f>
        <v>49.5</v>
      </c>
      <c r="L413" s="10">
        <f>Raw_Data!J413</f>
        <v>1100</v>
      </c>
      <c r="M413" s="11">
        <f>Raw_Data!K413</f>
        <v>0</v>
      </c>
      <c r="N413" s="10">
        <f>Raw_Data!L413</f>
        <v>1100</v>
      </c>
      <c r="O413" s="10">
        <f t="shared" si="12"/>
        <v>605</v>
      </c>
      <c r="P413" s="14">
        <f t="shared" si="13"/>
        <v>0.55000000000000004</v>
      </c>
      <c r="Q413" s="7" t="str">
        <f>Raw_Data!M413</f>
        <v>Card</v>
      </c>
      <c r="R413" s="7" t="str">
        <f>Raw_Data!N413</f>
        <v>No</v>
      </c>
    </row>
    <row r="414" spans="1:18" x14ac:dyDescent="0.25">
      <c r="A414" s="2" t="str">
        <f>Raw_Data!A414</f>
        <v>ORD-0413</v>
      </c>
      <c r="B414" s="3">
        <f>Raw_Data!B414</f>
        <v>45458</v>
      </c>
      <c r="C414" s="2" t="str">
        <f>TEXT(Raw_Data!B414,"MMM")</f>
        <v>Jun</v>
      </c>
      <c r="D414" s="2">
        <f>YEAR(Raw_Data!B414)</f>
        <v>2024</v>
      </c>
      <c r="E414" s="4" t="str">
        <f>Raw_Data!C414</f>
        <v>Priya Dubey</v>
      </c>
      <c r="F414" s="2" t="str">
        <f>Raw_Data!D414</f>
        <v>Chennai</v>
      </c>
      <c r="G414" s="4" t="str">
        <f>Raw_Data!E414</f>
        <v>Protein Supplement</v>
      </c>
      <c r="H414" s="2" t="str">
        <f>Raw_Data!F414</f>
        <v>Powder</v>
      </c>
      <c r="I414" s="2">
        <f>Raw_Data!G414</f>
        <v>10</v>
      </c>
      <c r="J414" s="5">
        <f>Raw_Data!H414</f>
        <v>450</v>
      </c>
      <c r="K414" s="5">
        <f>Raw_Data!I414</f>
        <v>247.5</v>
      </c>
      <c r="L414" s="5">
        <f>Raw_Data!J414</f>
        <v>4500</v>
      </c>
      <c r="M414" s="6">
        <f>Raw_Data!K414</f>
        <v>5</v>
      </c>
      <c r="N414" s="5">
        <f>Raw_Data!L414</f>
        <v>4275</v>
      </c>
      <c r="O414" s="5">
        <f t="shared" si="12"/>
        <v>2025</v>
      </c>
      <c r="P414" s="13">
        <f t="shared" si="13"/>
        <v>0.45</v>
      </c>
      <c r="Q414" s="2" t="str">
        <f>Raw_Data!M414</f>
        <v>UPI</v>
      </c>
      <c r="R414" s="2" t="str">
        <f>Raw_Data!N414</f>
        <v>No</v>
      </c>
    </row>
    <row r="415" spans="1:18" x14ac:dyDescent="0.25">
      <c r="A415" s="7" t="str">
        <f>Raw_Data!A415</f>
        <v>ORD-0414</v>
      </c>
      <c r="B415" s="8">
        <f>Raw_Data!B415</f>
        <v>45599</v>
      </c>
      <c r="C415" s="7" t="str">
        <f>TEXT(Raw_Data!B415,"MMM")</f>
        <v>Nov</v>
      </c>
      <c r="D415" s="7">
        <f>YEAR(Raw_Data!B415)</f>
        <v>2024</v>
      </c>
      <c r="E415" s="9" t="str">
        <f>Raw_Data!C415</f>
        <v>Pooja Mehta</v>
      </c>
      <c r="F415" s="7" t="str">
        <f>Raw_Data!D415</f>
        <v>Bangalore</v>
      </c>
      <c r="G415" s="9" t="str">
        <f>Raw_Data!E415</f>
        <v>Fluconazole 150mg</v>
      </c>
      <c r="H415" s="7" t="str">
        <f>Raw_Data!F415</f>
        <v>Capsule</v>
      </c>
      <c r="I415" s="7">
        <f>Raw_Data!G415</f>
        <v>1</v>
      </c>
      <c r="J415" s="10">
        <f>Raw_Data!H415</f>
        <v>75</v>
      </c>
      <c r="K415" s="10">
        <f>Raw_Data!I415</f>
        <v>37.5</v>
      </c>
      <c r="L415" s="10">
        <f>Raw_Data!J415</f>
        <v>75</v>
      </c>
      <c r="M415" s="11">
        <f>Raw_Data!K415</f>
        <v>15</v>
      </c>
      <c r="N415" s="10">
        <f>Raw_Data!L415</f>
        <v>63.75</v>
      </c>
      <c r="O415" s="10">
        <f t="shared" si="12"/>
        <v>37.5</v>
      </c>
      <c r="P415" s="14">
        <f t="shared" si="13"/>
        <v>0.5</v>
      </c>
      <c r="Q415" s="7" t="str">
        <f>Raw_Data!M415</f>
        <v>Cash</v>
      </c>
      <c r="R415" s="7" t="str">
        <f>Raw_Data!N415</f>
        <v>No</v>
      </c>
    </row>
    <row r="416" spans="1:18" x14ac:dyDescent="0.25">
      <c r="A416" s="2" t="str">
        <f>Raw_Data!A416</f>
        <v>ORD-0415</v>
      </c>
      <c r="B416" s="3">
        <f>Raw_Data!B416</f>
        <v>45490</v>
      </c>
      <c r="C416" s="2" t="str">
        <f>TEXT(Raw_Data!B416,"MMM")</f>
        <v>Jul</v>
      </c>
      <c r="D416" s="2">
        <f>YEAR(Raw_Data!B416)</f>
        <v>2024</v>
      </c>
      <c r="E416" s="4" t="str">
        <f>Raw_Data!C416</f>
        <v>Swati Agarwal</v>
      </c>
      <c r="F416" s="2" t="str">
        <f>Raw_Data!D416</f>
        <v>Surat</v>
      </c>
      <c r="G416" s="4" t="str">
        <f>Raw_Data!E416</f>
        <v>Betadine Cream</v>
      </c>
      <c r="H416" s="2" t="str">
        <f>Raw_Data!F416</f>
        <v>Cream</v>
      </c>
      <c r="I416" s="2">
        <f>Raw_Data!G416</f>
        <v>19</v>
      </c>
      <c r="J416" s="5">
        <f>Raw_Data!H416</f>
        <v>85</v>
      </c>
      <c r="K416" s="5">
        <f>Raw_Data!I416</f>
        <v>39.950000000000003</v>
      </c>
      <c r="L416" s="5">
        <f>Raw_Data!J416</f>
        <v>1615</v>
      </c>
      <c r="M416" s="6">
        <f>Raw_Data!K416</f>
        <v>5</v>
      </c>
      <c r="N416" s="5">
        <f>Raw_Data!L416</f>
        <v>1534.25</v>
      </c>
      <c r="O416" s="5">
        <f t="shared" si="12"/>
        <v>855.94999999999993</v>
      </c>
      <c r="P416" s="13">
        <f t="shared" si="13"/>
        <v>0.52999999999999992</v>
      </c>
      <c r="Q416" s="2" t="str">
        <f>Raw_Data!M416</f>
        <v>UPI</v>
      </c>
      <c r="R416" s="2" t="str">
        <f>Raw_Data!N416</f>
        <v>No</v>
      </c>
    </row>
    <row r="417" spans="1:18" x14ac:dyDescent="0.25">
      <c r="A417" s="7" t="str">
        <f>Raw_Data!A417</f>
        <v>ORD-0416</v>
      </c>
      <c r="B417" s="8">
        <f>Raw_Data!B417</f>
        <v>45535</v>
      </c>
      <c r="C417" s="7" t="str">
        <f>TEXT(Raw_Data!B417,"MMM")</f>
        <v>Aug</v>
      </c>
      <c r="D417" s="7">
        <f>YEAR(Raw_Data!B417)</f>
        <v>2024</v>
      </c>
      <c r="E417" s="9" t="str">
        <f>Raw_Data!C417</f>
        <v>Anjali Kumar</v>
      </c>
      <c r="F417" s="7" t="str">
        <f>Raw_Data!D417</f>
        <v>Jaipur</v>
      </c>
      <c r="G417" s="9" t="str">
        <f>Raw_Data!E417</f>
        <v>Candid Cream</v>
      </c>
      <c r="H417" s="7" t="str">
        <f>Raw_Data!F417</f>
        <v>Cream</v>
      </c>
      <c r="I417" s="7">
        <f>Raw_Data!G417</f>
        <v>10</v>
      </c>
      <c r="J417" s="10">
        <f>Raw_Data!H417</f>
        <v>65</v>
      </c>
      <c r="K417" s="10">
        <f>Raw_Data!I417</f>
        <v>30.55</v>
      </c>
      <c r="L417" s="10">
        <f>Raw_Data!J417</f>
        <v>650</v>
      </c>
      <c r="M417" s="11">
        <f>Raw_Data!K417</f>
        <v>0</v>
      </c>
      <c r="N417" s="10">
        <f>Raw_Data!L417</f>
        <v>650</v>
      </c>
      <c r="O417" s="10">
        <f t="shared" si="12"/>
        <v>344.5</v>
      </c>
      <c r="P417" s="14">
        <f t="shared" si="13"/>
        <v>0.53</v>
      </c>
      <c r="Q417" s="7" t="str">
        <f>Raw_Data!M417</f>
        <v>UPI</v>
      </c>
      <c r="R417" s="7" t="str">
        <f>Raw_Data!N417</f>
        <v>No</v>
      </c>
    </row>
    <row r="418" spans="1:18" x14ac:dyDescent="0.25">
      <c r="A418" s="2" t="str">
        <f>Raw_Data!A418</f>
        <v>ORD-0417</v>
      </c>
      <c r="B418" s="3">
        <f>Raw_Data!B418</f>
        <v>45341</v>
      </c>
      <c r="C418" s="2" t="str">
        <f>TEXT(Raw_Data!B418,"MMM")</f>
        <v>Feb</v>
      </c>
      <c r="D418" s="2">
        <f>YEAR(Raw_Data!B418)</f>
        <v>2024</v>
      </c>
      <c r="E418" s="4" t="str">
        <f>Raw_Data!C418</f>
        <v>Amit Singh</v>
      </c>
      <c r="F418" s="2" t="str">
        <f>Raw_Data!D418</f>
        <v>Chennai</v>
      </c>
      <c r="G418" s="4" t="str">
        <f>Raw_Data!E418</f>
        <v>Doxycycline 100mg</v>
      </c>
      <c r="H418" s="2" t="str">
        <f>Raw_Data!F418</f>
        <v>Capsule</v>
      </c>
      <c r="I418" s="2">
        <f>Raw_Data!G418</f>
        <v>18</v>
      </c>
      <c r="J418" s="5">
        <f>Raw_Data!H418</f>
        <v>90</v>
      </c>
      <c r="K418" s="5">
        <f>Raw_Data!I418</f>
        <v>45</v>
      </c>
      <c r="L418" s="5">
        <f>Raw_Data!J418</f>
        <v>1620</v>
      </c>
      <c r="M418" s="6">
        <f>Raw_Data!K418</f>
        <v>0</v>
      </c>
      <c r="N418" s="5">
        <f>Raw_Data!L418</f>
        <v>1620</v>
      </c>
      <c r="O418" s="5">
        <f t="shared" si="12"/>
        <v>810</v>
      </c>
      <c r="P418" s="13">
        <f t="shared" si="13"/>
        <v>0.5</v>
      </c>
      <c r="Q418" s="2" t="str">
        <f>Raw_Data!M418</f>
        <v>UPI</v>
      </c>
      <c r="R418" s="2" t="str">
        <f>Raw_Data!N418</f>
        <v>No</v>
      </c>
    </row>
    <row r="419" spans="1:18" x14ac:dyDescent="0.25">
      <c r="A419" s="7" t="str">
        <f>Raw_Data!A419</f>
        <v>ORD-0418</v>
      </c>
      <c r="B419" s="8">
        <f>Raw_Data!B419</f>
        <v>45473</v>
      </c>
      <c r="C419" s="7" t="str">
        <f>TEXT(Raw_Data!B419,"MMM")</f>
        <v>Jun</v>
      </c>
      <c r="D419" s="7">
        <f>YEAR(Raw_Data!B419)</f>
        <v>2024</v>
      </c>
      <c r="E419" s="9" t="str">
        <f>Raw_Data!C419</f>
        <v>Sunita Shah</v>
      </c>
      <c r="F419" s="7" t="str">
        <f>Raw_Data!D419</f>
        <v>Kolkata</v>
      </c>
      <c r="G419" s="9" t="str">
        <f>Raw_Data!E419</f>
        <v>Paracetamol Syrup</v>
      </c>
      <c r="H419" s="7" t="str">
        <f>Raw_Data!F419</f>
        <v>Syrup</v>
      </c>
      <c r="I419" s="7">
        <f>Raw_Data!G419</f>
        <v>11</v>
      </c>
      <c r="J419" s="10">
        <f>Raw_Data!H419</f>
        <v>45</v>
      </c>
      <c r="K419" s="10">
        <f>Raw_Data!I419</f>
        <v>21.6</v>
      </c>
      <c r="L419" s="10">
        <f>Raw_Data!J419</f>
        <v>495</v>
      </c>
      <c r="M419" s="11">
        <f>Raw_Data!K419</f>
        <v>10</v>
      </c>
      <c r="N419" s="10">
        <f>Raw_Data!L419</f>
        <v>445.5</v>
      </c>
      <c r="O419" s="10">
        <f t="shared" si="12"/>
        <v>257.39999999999998</v>
      </c>
      <c r="P419" s="14">
        <f t="shared" si="13"/>
        <v>0.51999999999999991</v>
      </c>
      <c r="Q419" s="7" t="str">
        <f>Raw_Data!M419</f>
        <v>Cash</v>
      </c>
      <c r="R419" s="7" t="str">
        <f>Raw_Data!N419</f>
        <v>Yes</v>
      </c>
    </row>
    <row r="420" spans="1:18" x14ac:dyDescent="0.25">
      <c r="A420" s="2" t="str">
        <f>Raw_Data!A420</f>
        <v>ORD-0419</v>
      </c>
      <c r="B420" s="3">
        <f>Raw_Data!B420</f>
        <v>45319</v>
      </c>
      <c r="C420" s="2" t="str">
        <f>TEXT(Raw_Data!B420,"MMM")</f>
        <v>Jan</v>
      </c>
      <c r="D420" s="2">
        <f>YEAR(Raw_Data!B420)</f>
        <v>2024</v>
      </c>
      <c r="E420" s="4" t="str">
        <f>Raw_Data!C420</f>
        <v>Sunita Mishra</v>
      </c>
      <c r="F420" s="2" t="str">
        <f>Raw_Data!D420</f>
        <v>Surat</v>
      </c>
      <c r="G420" s="4" t="str">
        <f>Raw_Data!E420</f>
        <v>Antifungal Powder</v>
      </c>
      <c r="H420" s="2" t="str">
        <f>Raw_Data!F420</f>
        <v>Powder</v>
      </c>
      <c r="I420" s="2">
        <f>Raw_Data!G420</f>
        <v>19</v>
      </c>
      <c r="J420" s="5">
        <f>Raw_Data!H420</f>
        <v>55</v>
      </c>
      <c r="K420" s="5">
        <f>Raw_Data!I420</f>
        <v>30.25</v>
      </c>
      <c r="L420" s="5">
        <f>Raw_Data!J420</f>
        <v>1045</v>
      </c>
      <c r="M420" s="6">
        <f>Raw_Data!K420</f>
        <v>0</v>
      </c>
      <c r="N420" s="5">
        <f>Raw_Data!L420</f>
        <v>1045</v>
      </c>
      <c r="O420" s="5">
        <f t="shared" si="12"/>
        <v>470.25</v>
      </c>
      <c r="P420" s="13">
        <f t="shared" si="13"/>
        <v>0.45</v>
      </c>
      <c r="Q420" s="2" t="str">
        <f>Raw_Data!M420</f>
        <v>Cash</v>
      </c>
      <c r="R420" s="2" t="str">
        <f>Raw_Data!N420</f>
        <v>No</v>
      </c>
    </row>
    <row r="421" spans="1:18" x14ac:dyDescent="0.25">
      <c r="A421" s="7" t="str">
        <f>Raw_Data!A421</f>
        <v>ORD-0420</v>
      </c>
      <c r="B421" s="8">
        <f>Raw_Data!B421</f>
        <v>45640</v>
      </c>
      <c r="C421" s="7" t="str">
        <f>TEXT(Raw_Data!B421,"MMM")</f>
        <v>Dec</v>
      </c>
      <c r="D421" s="7">
        <f>YEAR(Raw_Data!B421)</f>
        <v>2024</v>
      </c>
      <c r="E421" s="9" t="str">
        <f>Raw_Data!C421</f>
        <v>Pooja Rao</v>
      </c>
      <c r="F421" s="7" t="str">
        <f>Raw_Data!D421</f>
        <v>Kolkata</v>
      </c>
      <c r="G421" s="9" t="str">
        <f>Raw_Data!E421</f>
        <v>Fluconazole 150mg</v>
      </c>
      <c r="H421" s="7" t="str">
        <f>Raw_Data!F421</f>
        <v>Capsule</v>
      </c>
      <c r="I421" s="7">
        <f>Raw_Data!G421</f>
        <v>2</v>
      </c>
      <c r="J421" s="10">
        <f>Raw_Data!H421</f>
        <v>75</v>
      </c>
      <c r="K421" s="10">
        <f>Raw_Data!I421</f>
        <v>37.5</v>
      </c>
      <c r="L421" s="10">
        <f>Raw_Data!J421</f>
        <v>150</v>
      </c>
      <c r="M421" s="11">
        <f>Raw_Data!K421</f>
        <v>0</v>
      </c>
      <c r="N421" s="10">
        <f>Raw_Data!L421</f>
        <v>150</v>
      </c>
      <c r="O421" s="10">
        <f t="shared" si="12"/>
        <v>75</v>
      </c>
      <c r="P421" s="14">
        <f t="shared" si="13"/>
        <v>0.5</v>
      </c>
      <c r="Q421" s="7" t="str">
        <f>Raw_Data!M421</f>
        <v>Cash</v>
      </c>
      <c r="R421" s="7" t="str">
        <f>Raw_Data!N421</f>
        <v>Yes</v>
      </c>
    </row>
    <row r="422" spans="1:18" x14ac:dyDescent="0.25">
      <c r="A422" s="2" t="str">
        <f>Raw_Data!A422</f>
        <v>ORD-0421</v>
      </c>
      <c r="B422" s="3">
        <f>Raw_Data!B422</f>
        <v>45526</v>
      </c>
      <c r="C422" s="2" t="str">
        <f>TEXT(Raw_Data!B422,"MMM")</f>
        <v>Aug</v>
      </c>
      <c r="D422" s="2">
        <f>YEAR(Raw_Data!B422)</f>
        <v>2024</v>
      </c>
      <c r="E422" s="4" t="str">
        <f>Raw_Data!C422</f>
        <v>Arjun Agarwal</v>
      </c>
      <c r="F422" s="2" t="str">
        <f>Raw_Data!D422</f>
        <v>Bangalore</v>
      </c>
      <c r="G422" s="4" t="str">
        <f>Raw_Data!E422</f>
        <v>Paracetamol Syrup</v>
      </c>
      <c r="H422" s="2" t="str">
        <f>Raw_Data!F422</f>
        <v>Syrup</v>
      </c>
      <c r="I422" s="2">
        <f>Raw_Data!G422</f>
        <v>3</v>
      </c>
      <c r="J422" s="5">
        <f>Raw_Data!H422</f>
        <v>45</v>
      </c>
      <c r="K422" s="5">
        <f>Raw_Data!I422</f>
        <v>21.6</v>
      </c>
      <c r="L422" s="5">
        <f>Raw_Data!J422</f>
        <v>135</v>
      </c>
      <c r="M422" s="6">
        <f>Raw_Data!K422</f>
        <v>15</v>
      </c>
      <c r="N422" s="5">
        <f>Raw_Data!L422</f>
        <v>114.75</v>
      </c>
      <c r="O422" s="5">
        <f t="shared" si="12"/>
        <v>70.199999999999989</v>
      </c>
      <c r="P422" s="13">
        <f t="shared" si="13"/>
        <v>0.51999999999999991</v>
      </c>
      <c r="Q422" s="2" t="str">
        <f>Raw_Data!M422</f>
        <v>UPI</v>
      </c>
      <c r="R422" s="2" t="str">
        <f>Raw_Data!N422</f>
        <v>No</v>
      </c>
    </row>
    <row r="423" spans="1:18" x14ac:dyDescent="0.25">
      <c r="A423" s="7" t="str">
        <f>Raw_Data!A423</f>
        <v>ORD-0422</v>
      </c>
      <c r="B423" s="8">
        <f>Raw_Data!B423</f>
        <v>45321</v>
      </c>
      <c r="C423" s="7" t="str">
        <f>TEXT(Raw_Data!B423,"MMM")</f>
        <v>Jan</v>
      </c>
      <c r="D423" s="7">
        <f>YEAR(Raw_Data!B423)</f>
        <v>2024</v>
      </c>
      <c r="E423" s="9" t="str">
        <f>Raw_Data!C423</f>
        <v>Amit Gupta</v>
      </c>
      <c r="F423" s="7" t="str">
        <f>Raw_Data!D423</f>
        <v>Chennai</v>
      </c>
      <c r="G423" s="9" t="str">
        <f>Raw_Data!E423</f>
        <v>Pantoprazole 40mg</v>
      </c>
      <c r="H423" s="7" t="str">
        <f>Raw_Data!F423</f>
        <v>Tablet</v>
      </c>
      <c r="I423" s="7">
        <f>Raw_Data!G423</f>
        <v>7</v>
      </c>
      <c r="J423" s="10">
        <f>Raw_Data!H423</f>
        <v>75</v>
      </c>
      <c r="K423" s="10">
        <f>Raw_Data!I423</f>
        <v>39</v>
      </c>
      <c r="L423" s="10">
        <f>Raw_Data!J423</f>
        <v>525</v>
      </c>
      <c r="M423" s="11">
        <f>Raw_Data!K423</f>
        <v>0</v>
      </c>
      <c r="N423" s="10">
        <f>Raw_Data!L423</f>
        <v>525</v>
      </c>
      <c r="O423" s="10">
        <f t="shared" si="12"/>
        <v>252</v>
      </c>
      <c r="P423" s="14">
        <f t="shared" si="13"/>
        <v>0.48</v>
      </c>
      <c r="Q423" s="7" t="str">
        <f>Raw_Data!M423</f>
        <v>Cash</v>
      </c>
      <c r="R423" s="7" t="str">
        <f>Raw_Data!N423</f>
        <v>Yes</v>
      </c>
    </row>
    <row r="424" spans="1:18" x14ac:dyDescent="0.25">
      <c r="A424" s="2" t="str">
        <f>Raw_Data!A424</f>
        <v>ORD-0423</v>
      </c>
      <c r="B424" s="3">
        <f>Raw_Data!B424</f>
        <v>45606</v>
      </c>
      <c r="C424" s="2" t="str">
        <f>TEXT(Raw_Data!B424,"MMM")</f>
        <v>Nov</v>
      </c>
      <c r="D424" s="2">
        <f>YEAR(Raw_Data!B424)</f>
        <v>2024</v>
      </c>
      <c r="E424" s="4" t="str">
        <f>Raw_Data!C424</f>
        <v>Rohit Tiwari</v>
      </c>
      <c r="F424" s="2" t="str">
        <f>Raw_Data!D424</f>
        <v>Kolkata</v>
      </c>
      <c r="G424" s="4" t="str">
        <f>Raw_Data!E424</f>
        <v>Vitamin D3 60K</v>
      </c>
      <c r="H424" s="2" t="str">
        <f>Raw_Data!F424</f>
        <v>Capsule</v>
      </c>
      <c r="I424" s="2">
        <f>Raw_Data!G424</f>
        <v>14</v>
      </c>
      <c r="J424" s="5">
        <f>Raw_Data!H424</f>
        <v>55</v>
      </c>
      <c r="K424" s="5">
        <f>Raw_Data!I424</f>
        <v>27.5</v>
      </c>
      <c r="L424" s="5">
        <f>Raw_Data!J424</f>
        <v>770</v>
      </c>
      <c r="M424" s="6">
        <f>Raw_Data!K424</f>
        <v>15</v>
      </c>
      <c r="N424" s="5">
        <f>Raw_Data!L424</f>
        <v>654.5</v>
      </c>
      <c r="O424" s="5">
        <f t="shared" si="12"/>
        <v>385</v>
      </c>
      <c r="P424" s="13">
        <f t="shared" si="13"/>
        <v>0.5</v>
      </c>
      <c r="Q424" s="2" t="str">
        <f>Raw_Data!M424</f>
        <v>Cash</v>
      </c>
      <c r="R424" s="2" t="str">
        <f>Raw_Data!N424</f>
        <v>Yes</v>
      </c>
    </row>
    <row r="425" spans="1:18" x14ac:dyDescent="0.25">
      <c r="A425" s="7" t="str">
        <f>Raw_Data!A425</f>
        <v>ORD-0424</v>
      </c>
      <c r="B425" s="8">
        <f>Raw_Data!B425</f>
        <v>45483</v>
      </c>
      <c r="C425" s="7" t="str">
        <f>TEXT(Raw_Data!B425,"MMM")</f>
        <v>Jul</v>
      </c>
      <c r="D425" s="7">
        <f>YEAR(Raw_Data!B425)</f>
        <v>2024</v>
      </c>
      <c r="E425" s="9" t="str">
        <f>Raw_Data!C425</f>
        <v>Deepa Singh</v>
      </c>
      <c r="F425" s="7" t="str">
        <f>Raw_Data!D425</f>
        <v>Jaipur</v>
      </c>
      <c r="G425" s="9" t="str">
        <f>Raw_Data!E425</f>
        <v>Ibuprofen 400mg</v>
      </c>
      <c r="H425" s="7" t="str">
        <f>Raw_Data!F425</f>
        <v>Tablet</v>
      </c>
      <c r="I425" s="7">
        <f>Raw_Data!G425</f>
        <v>7</v>
      </c>
      <c r="J425" s="10">
        <f>Raw_Data!H425</f>
        <v>30</v>
      </c>
      <c r="K425" s="10">
        <f>Raw_Data!I425</f>
        <v>15.6</v>
      </c>
      <c r="L425" s="10">
        <f>Raw_Data!J425</f>
        <v>210</v>
      </c>
      <c r="M425" s="11">
        <f>Raw_Data!K425</f>
        <v>0</v>
      </c>
      <c r="N425" s="10">
        <f>Raw_Data!L425</f>
        <v>210</v>
      </c>
      <c r="O425" s="10">
        <f t="shared" si="12"/>
        <v>100.8</v>
      </c>
      <c r="P425" s="14">
        <f t="shared" si="13"/>
        <v>0.48</v>
      </c>
      <c r="Q425" s="7" t="str">
        <f>Raw_Data!M425</f>
        <v>UPI</v>
      </c>
      <c r="R425" s="7" t="str">
        <f>Raw_Data!N425</f>
        <v>No</v>
      </c>
    </row>
    <row r="426" spans="1:18" x14ac:dyDescent="0.25">
      <c r="A426" s="2" t="str">
        <f>Raw_Data!A426</f>
        <v>ORD-0425</v>
      </c>
      <c r="B426" s="3">
        <f>Raw_Data!B426</f>
        <v>45647</v>
      </c>
      <c r="C426" s="2" t="str">
        <f>TEXT(Raw_Data!B426,"MMM")</f>
        <v>Dec</v>
      </c>
      <c r="D426" s="2">
        <f>YEAR(Raw_Data!B426)</f>
        <v>2024</v>
      </c>
      <c r="E426" s="4" t="str">
        <f>Raw_Data!C426</f>
        <v>Amit Mishra</v>
      </c>
      <c r="F426" s="2" t="str">
        <f>Raw_Data!D426</f>
        <v>Bangalore</v>
      </c>
      <c r="G426" s="4" t="str">
        <f>Raw_Data!E426</f>
        <v>Dexamethasone Inj</v>
      </c>
      <c r="H426" s="2" t="str">
        <f>Raw_Data!F426</f>
        <v>Injection</v>
      </c>
      <c r="I426" s="2">
        <f>Raw_Data!G426</f>
        <v>4</v>
      </c>
      <c r="J426" s="5">
        <f>Raw_Data!H426</f>
        <v>95</v>
      </c>
      <c r="K426" s="5">
        <f>Raw_Data!I426</f>
        <v>57</v>
      </c>
      <c r="L426" s="5">
        <f>Raw_Data!J426</f>
        <v>380</v>
      </c>
      <c r="M426" s="6">
        <f>Raw_Data!K426</f>
        <v>10</v>
      </c>
      <c r="N426" s="5">
        <f>Raw_Data!L426</f>
        <v>342</v>
      </c>
      <c r="O426" s="5">
        <f t="shared" si="12"/>
        <v>152</v>
      </c>
      <c r="P426" s="13">
        <f t="shared" si="13"/>
        <v>0.4</v>
      </c>
      <c r="Q426" s="2" t="str">
        <f>Raw_Data!M426</f>
        <v>Card</v>
      </c>
      <c r="R426" s="2" t="str">
        <f>Raw_Data!N426</f>
        <v>Yes</v>
      </c>
    </row>
    <row r="427" spans="1:18" x14ac:dyDescent="0.25">
      <c r="A427" s="7" t="str">
        <f>Raw_Data!A427</f>
        <v>ORD-0426</v>
      </c>
      <c r="B427" s="8">
        <f>Raw_Data!B427</f>
        <v>45315</v>
      </c>
      <c r="C427" s="7" t="str">
        <f>TEXT(Raw_Data!B427,"MMM")</f>
        <v>Jan</v>
      </c>
      <c r="D427" s="7">
        <f>YEAR(Raw_Data!B427)</f>
        <v>2024</v>
      </c>
      <c r="E427" s="9" t="str">
        <f>Raw_Data!C427</f>
        <v>Vikram Joshi</v>
      </c>
      <c r="F427" s="7" t="str">
        <f>Raw_Data!D427</f>
        <v>Ahmedabad</v>
      </c>
      <c r="G427" s="9" t="str">
        <f>Raw_Data!E427</f>
        <v>Dexamethasone Inj</v>
      </c>
      <c r="H427" s="7" t="str">
        <f>Raw_Data!F427</f>
        <v>Injection</v>
      </c>
      <c r="I427" s="7">
        <f>Raw_Data!G427</f>
        <v>17</v>
      </c>
      <c r="J427" s="10">
        <f>Raw_Data!H427</f>
        <v>95</v>
      </c>
      <c r="K427" s="10">
        <f>Raw_Data!I427</f>
        <v>57</v>
      </c>
      <c r="L427" s="10">
        <f>Raw_Data!J427</f>
        <v>1615</v>
      </c>
      <c r="M427" s="11">
        <f>Raw_Data!K427</f>
        <v>20</v>
      </c>
      <c r="N427" s="10">
        <f>Raw_Data!L427</f>
        <v>1292</v>
      </c>
      <c r="O427" s="10">
        <f t="shared" si="12"/>
        <v>646</v>
      </c>
      <c r="P427" s="14">
        <f t="shared" si="13"/>
        <v>0.4</v>
      </c>
      <c r="Q427" s="7" t="str">
        <f>Raw_Data!M427</f>
        <v>UPI</v>
      </c>
      <c r="R427" s="7" t="str">
        <f>Raw_Data!N427</f>
        <v>Yes</v>
      </c>
    </row>
    <row r="428" spans="1:18" x14ac:dyDescent="0.25">
      <c r="A428" s="2" t="str">
        <f>Raw_Data!A428</f>
        <v>ORD-0427</v>
      </c>
      <c r="B428" s="3">
        <f>Raw_Data!B428</f>
        <v>45542</v>
      </c>
      <c r="C428" s="2" t="str">
        <f>TEXT(Raw_Data!B428,"MMM")</f>
        <v>Sep</v>
      </c>
      <c r="D428" s="2">
        <f>YEAR(Raw_Data!B428)</f>
        <v>2024</v>
      </c>
      <c r="E428" s="4" t="str">
        <f>Raw_Data!C428</f>
        <v>Vikram Singh</v>
      </c>
      <c r="F428" s="2" t="str">
        <f>Raw_Data!D428</f>
        <v>Bangalore</v>
      </c>
      <c r="G428" s="4" t="str">
        <f>Raw_Data!E428</f>
        <v>Ondansetron Inj</v>
      </c>
      <c r="H428" s="2" t="str">
        <f>Raw_Data!F428</f>
        <v>Injection</v>
      </c>
      <c r="I428" s="2">
        <f>Raw_Data!G428</f>
        <v>13</v>
      </c>
      <c r="J428" s="5">
        <f>Raw_Data!H428</f>
        <v>120</v>
      </c>
      <c r="K428" s="5">
        <f>Raw_Data!I428</f>
        <v>72</v>
      </c>
      <c r="L428" s="5">
        <f>Raw_Data!J428</f>
        <v>1560</v>
      </c>
      <c r="M428" s="6">
        <f>Raw_Data!K428</f>
        <v>0</v>
      </c>
      <c r="N428" s="5">
        <f>Raw_Data!L428</f>
        <v>1560</v>
      </c>
      <c r="O428" s="5">
        <f t="shared" si="12"/>
        <v>624</v>
      </c>
      <c r="P428" s="13">
        <f t="shared" si="13"/>
        <v>0.4</v>
      </c>
      <c r="Q428" s="2" t="str">
        <f>Raw_Data!M428</f>
        <v>UPI</v>
      </c>
      <c r="R428" s="2" t="str">
        <f>Raw_Data!N428</f>
        <v>Yes</v>
      </c>
    </row>
    <row r="429" spans="1:18" x14ac:dyDescent="0.25">
      <c r="A429" s="7" t="str">
        <f>Raw_Data!A429</f>
        <v>ORD-0428</v>
      </c>
      <c r="B429" s="8">
        <f>Raw_Data!B429</f>
        <v>45303</v>
      </c>
      <c r="C429" s="7" t="str">
        <f>TEXT(Raw_Data!B429,"MMM")</f>
        <v>Jan</v>
      </c>
      <c r="D429" s="7">
        <f>YEAR(Raw_Data!B429)</f>
        <v>2024</v>
      </c>
      <c r="E429" s="9" t="str">
        <f>Raw_Data!C429</f>
        <v>Nikhil Nair</v>
      </c>
      <c r="F429" s="7" t="str">
        <f>Raw_Data!D429</f>
        <v>Bangalore</v>
      </c>
      <c r="G429" s="9" t="str">
        <f>Raw_Data!E429</f>
        <v>Refresh Tears</v>
      </c>
      <c r="H429" s="7" t="str">
        <f>Raw_Data!F429</f>
        <v>Drops</v>
      </c>
      <c r="I429" s="7">
        <f>Raw_Data!G429</f>
        <v>4</v>
      </c>
      <c r="J429" s="10">
        <f>Raw_Data!H429</f>
        <v>110</v>
      </c>
      <c r="K429" s="10">
        <f>Raw_Data!I429</f>
        <v>49.5</v>
      </c>
      <c r="L429" s="10">
        <f>Raw_Data!J429</f>
        <v>440</v>
      </c>
      <c r="M429" s="11">
        <f>Raw_Data!K429</f>
        <v>10</v>
      </c>
      <c r="N429" s="10">
        <f>Raw_Data!L429</f>
        <v>396</v>
      </c>
      <c r="O429" s="10">
        <f t="shared" si="12"/>
        <v>242</v>
      </c>
      <c r="P429" s="14">
        <f t="shared" si="13"/>
        <v>0.55000000000000004</v>
      </c>
      <c r="Q429" s="7" t="str">
        <f>Raw_Data!M429</f>
        <v>UPI</v>
      </c>
      <c r="R429" s="7" t="str">
        <f>Raw_Data!N429</f>
        <v>No</v>
      </c>
    </row>
    <row r="430" spans="1:18" x14ac:dyDescent="0.25">
      <c r="A430" s="2" t="str">
        <f>Raw_Data!A430</f>
        <v>ORD-0429</v>
      </c>
      <c r="B430" s="3">
        <f>Raw_Data!B430</f>
        <v>45619</v>
      </c>
      <c r="C430" s="2" t="str">
        <f>TEXT(Raw_Data!B430,"MMM")</f>
        <v>Nov</v>
      </c>
      <c r="D430" s="2">
        <f>YEAR(Raw_Data!B430)</f>
        <v>2024</v>
      </c>
      <c r="E430" s="4" t="str">
        <f>Raw_Data!C430</f>
        <v>Sunita Mehta</v>
      </c>
      <c r="F430" s="2" t="str">
        <f>Raw_Data!D430</f>
        <v>Surat</v>
      </c>
      <c r="G430" s="4" t="str">
        <f>Raw_Data!E430</f>
        <v>Insulin Glargine</v>
      </c>
      <c r="H430" s="2" t="str">
        <f>Raw_Data!F430</f>
        <v>Injection</v>
      </c>
      <c r="I430" s="2">
        <f>Raw_Data!G430</f>
        <v>2</v>
      </c>
      <c r="J430" s="5">
        <f>Raw_Data!H430</f>
        <v>850</v>
      </c>
      <c r="K430" s="5">
        <f>Raw_Data!I430</f>
        <v>510</v>
      </c>
      <c r="L430" s="5">
        <f>Raw_Data!J430</f>
        <v>1700</v>
      </c>
      <c r="M430" s="6">
        <f>Raw_Data!K430</f>
        <v>0</v>
      </c>
      <c r="N430" s="5">
        <f>Raw_Data!L430</f>
        <v>1700</v>
      </c>
      <c r="O430" s="5">
        <f t="shared" si="12"/>
        <v>680</v>
      </c>
      <c r="P430" s="13">
        <f t="shared" si="13"/>
        <v>0.4</v>
      </c>
      <c r="Q430" s="2" t="str">
        <f>Raw_Data!M430</f>
        <v>Cash</v>
      </c>
      <c r="R430" s="2" t="str">
        <f>Raw_Data!N430</f>
        <v>Yes</v>
      </c>
    </row>
    <row r="431" spans="1:18" x14ac:dyDescent="0.25">
      <c r="A431" s="7" t="str">
        <f>Raw_Data!A431</f>
        <v>ORD-0430</v>
      </c>
      <c r="B431" s="8">
        <f>Raw_Data!B431</f>
        <v>45519</v>
      </c>
      <c r="C431" s="7" t="str">
        <f>TEXT(Raw_Data!B431,"MMM")</f>
        <v>Aug</v>
      </c>
      <c r="D431" s="7">
        <f>YEAR(Raw_Data!B431)</f>
        <v>2024</v>
      </c>
      <c r="E431" s="9" t="str">
        <f>Raw_Data!C431</f>
        <v>Rahul Kumar</v>
      </c>
      <c r="F431" s="7" t="str">
        <f>Raw_Data!D431</f>
        <v>Jaipur</v>
      </c>
      <c r="G431" s="9" t="str">
        <f>Raw_Data!E431</f>
        <v>Omeprazole 20mg</v>
      </c>
      <c r="H431" s="7" t="str">
        <f>Raw_Data!F431</f>
        <v>Capsule</v>
      </c>
      <c r="I431" s="7">
        <f>Raw_Data!G431</f>
        <v>9</v>
      </c>
      <c r="J431" s="10">
        <f>Raw_Data!H431</f>
        <v>40</v>
      </c>
      <c r="K431" s="10">
        <f>Raw_Data!I431</f>
        <v>20</v>
      </c>
      <c r="L431" s="10">
        <f>Raw_Data!J431</f>
        <v>360</v>
      </c>
      <c r="M431" s="11">
        <f>Raw_Data!K431</f>
        <v>15</v>
      </c>
      <c r="N431" s="10">
        <f>Raw_Data!L431</f>
        <v>306</v>
      </c>
      <c r="O431" s="10">
        <f t="shared" si="12"/>
        <v>180</v>
      </c>
      <c r="P431" s="14">
        <f t="shared" si="13"/>
        <v>0.5</v>
      </c>
      <c r="Q431" s="7" t="str">
        <f>Raw_Data!M431</f>
        <v>Cash</v>
      </c>
      <c r="R431" s="7" t="str">
        <f>Raw_Data!N431</f>
        <v>No</v>
      </c>
    </row>
    <row r="432" spans="1:18" x14ac:dyDescent="0.25">
      <c r="A432" s="2" t="str">
        <f>Raw_Data!A432</f>
        <v>ORD-0431</v>
      </c>
      <c r="B432" s="3">
        <f>Raw_Data!B432</f>
        <v>45507</v>
      </c>
      <c r="C432" s="2" t="str">
        <f>TEXT(Raw_Data!B432,"MMM")</f>
        <v>Aug</v>
      </c>
      <c r="D432" s="2">
        <f>YEAR(Raw_Data!B432)</f>
        <v>2024</v>
      </c>
      <c r="E432" s="4" t="str">
        <f>Raw_Data!C432</f>
        <v>Manish Tiwari</v>
      </c>
      <c r="F432" s="2" t="str">
        <f>Raw_Data!D432</f>
        <v>Jaipur</v>
      </c>
      <c r="G432" s="4" t="str">
        <f>Raw_Data!E432</f>
        <v>Betadine Cream</v>
      </c>
      <c r="H432" s="2" t="str">
        <f>Raw_Data!F432</f>
        <v>Cream</v>
      </c>
      <c r="I432" s="2">
        <f>Raw_Data!G432</f>
        <v>9</v>
      </c>
      <c r="J432" s="5">
        <f>Raw_Data!H432</f>
        <v>85</v>
      </c>
      <c r="K432" s="5">
        <f>Raw_Data!I432</f>
        <v>39.950000000000003</v>
      </c>
      <c r="L432" s="5">
        <f>Raw_Data!J432</f>
        <v>765</v>
      </c>
      <c r="M432" s="6">
        <f>Raw_Data!K432</f>
        <v>0</v>
      </c>
      <c r="N432" s="5">
        <f>Raw_Data!L432</f>
        <v>765</v>
      </c>
      <c r="O432" s="5">
        <f t="shared" si="12"/>
        <v>405.45</v>
      </c>
      <c r="P432" s="13">
        <f t="shared" si="13"/>
        <v>0.53</v>
      </c>
      <c r="Q432" s="2" t="str">
        <f>Raw_Data!M432</f>
        <v>UPI</v>
      </c>
      <c r="R432" s="2" t="str">
        <f>Raw_Data!N432</f>
        <v>No</v>
      </c>
    </row>
    <row r="433" spans="1:18" x14ac:dyDescent="0.25">
      <c r="A433" s="7" t="str">
        <f>Raw_Data!A433</f>
        <v>ORD-0432</v>
      </c>
      <c r="B433" s="8">
        <f>Raw_Data!B433</f>
        <v>45608</v>
      </c>
      <c r="C433" s="7" t="str">
        <f>TEXT(Raw_Data!B433,"MMM")</f>
        <v>Nov</v>
      </c>
      <c r="D433" s="7">
        <f>YEAR(Raw_Data!B433)</f>
        <v>2024</v>
      </c>
      <c r="E433" s="9" t="str">
        <f>Raw_Data!C433</f>
        <v>Suresh Mishra</v>
      </c>
      <c r="F433" s="7" t="str">
        <f>Raw_Data!D433</f>
        <v>Delhi</v>
      </c>
      <c r="G433" s="9" t="str">
        <f>Raw_Data!E433</f>
        <v>Cetirizine 10mg</v>
      </c>
      <c r="H433" s="7" t="str">
        <f>Raw_Data!F433</f>
        <v>Tablet</v>
      </c>
      <c r="I433" s="7">
        <f>Raw_Data!G433</f>
        <v>4</v>
      </c>
      <c r="J433" s="10">
        <f>Raw_Data!H433</f>
        <v>35</v>
      </c>
      <c r="K433" s="10">
        <f>Raw_Data!I433</f>
        <v>18.2</v>
      </c>
      <c r="L433" s="10">
        <f>Raw_Data!J433</f>
        <v>140</v>
      </c>
      <c r="M433" s="11">
        <f>Raw_Data!K433</f>
        <v>15</v>
      </c>
      <c r="N433" s="10">
        <f>Raw_Data!L433</f>
        <v>119</v>
      </c>
      <c r="O433" s="10">
        <f t="shared" si="12"/>
        <v>67.2</v>
      </c>
      <c r="P433" s="14">
        <f t="shared" si="13"/>
        <v>0.48000000000000004</v>
      </c>
      <c r="Q433" s="7" t="str">
        <f>Raw_Data!M433</f>
        <v>Cash</v>
      </c>
      <c r="R433" s="7" t="str">
        <f>Raw_Data!N433</f>
        <v>Yes</v>
      </c>
    </row>
    <row r="434" spans="1:18" x14ac:dyDescent="0.25">
      <c r="A434" s="2" t="str">
        <f>Raw_Data!A434</f>
        <v>ORD-0433</v>
      </c>
      <c r="B434" s="3">
        <f>Raw_Data!B434</f>
        <v>45559</v>
      </c>
      <c r="C434" s="2" t="str">
        <f>TEXT(Raw_Data!B434,"MMM")</f>
        <v>Sep</v>
      </c>
      <c r="D434" s="2">
        <f>YEAR(Raw_Data!B434)</f>
        <v>2024</v>
      </c>
      <c r="E434" s="4" t="str">
        <f>Raw_Data!C434</f>
        <v>Rohit Tiwari</v>
      </c>
      <c r="F434" s="2" t="str">
        <f>Raw_Data!D434</f>
        <v>Kolkata</v>
      </c>
      <c r="G434" s="4" t="str">
        <f>Raw_Data!E434</f>
        <v>Paracetamol Syrup</v>
      </c>
      <c r="H434" s="2" t="str">
        <f>Raw_Data!F434</f>
        <v>Syrup</v>
      </c>
      <c r="I434" s="2">
        <f>Raw_Data!G434</f>
        <v>10</v>
      </c>
      <c r="J434" s="5">
        <f>Raw_Data!H434</f>
        <v>45</v>
      </c>
      <c r="K434" s="5">
        <f>Raw_Data!I434</f>
        <v>21.6</v>
      </c>
      <c r="L434" s="5">
        <f>Raw_Data!J434</f>
        <v>450</v>
      </c>
      <c r="M434" s="6">
        <f>Raw_Data!K434</f>
        <v>0</v>
      </c>
      <c r="N434" s="5">
        <f>Raw_Data!L434</f>
        <v>450</v>
      </c>
      <c r="O434" s="5">
        <f t="shared" si="12"/>
        <v>234</v>
      </c>
      <c r="P434" s="13">
        <f t="shared" si="13"/>
        <v>0.52</v>
      </c>
      <c r="Q434" s="2" t="str">
        <f>Raw_Data!M434</f>
        <v>Card</v>
      </c>
      <c r="R434" s="2" t="str">
        <f>Raw_Data!N434</f>
        <v>Yes</v>
      </c>
    </row>
    <row r="435" spans="1:18" x14ac:dyDescent="0.25">
      <c r="A435" s="7" t="str">
        <f>Raw_Data!A435</f>
        <v>ORD-0434</v>
      </c>
      <c r="B435" s="8">
        <f>Raw_Data!B435</f>
        <v>45538</v>
      </c>
      <c r="C435" s="7" t="str">
        <f>TEXT(Raw_Data!B435,"MMM")</f>
        <v>Sep</v>
      </c>
      <c r="D435" s="7">
        <f>YEAR(Raw_Data!B435)</f>
        <v>2024</v>
      </c>
      <c r="E435" s="9" t="str">
        <f>Raw_Data!C435</f>
        <v>Rekha Gupta</v>
      </c>
      <c r="F435" s="7" t="str">
        <f>Raw_Data!D435</f>
        <v>Mumbai</v>
      </c>
      <c r="G435" s="9" t="str">
        <f>Raw_Data!E435</f>
        <v>Ondansetron Inj</v>
      </c>
      <c r="H435" s="7" t="str">
        <f>Raw_Data!F435</f>
        <v>Injection</v>
      </c>
      <c r="I435" s="7">
        <f>Raw_Data!G435</f>
        <v>1</v>
      </c>
      <c r="J435" s="10">
        <f>Raw_Data!H435</f>
        <v>120</v>
      </c>
      <c r="K435" s="10">
        <f>Raw_Data!I435</f>
        <v>72</v>
      </c>
      <c r="L435" s="10">
        <f>Raw_Data!J435</f>
        <v>120</v>
      </c>
      <c r="M435" s="11">
        <f>Raw_Data!K435</f>
        <v>0</v>
      </c>
      <c r="N435" s="10">
        <f>Raw_Data!L435</f>
        <v>120</v>
      </c>
      <c r="O435" s="10">
        <f t="shared" si="12"/>
        <v>48</v>
      </c>
      <c r="P435" s="14">
        <f t="shared" si="13"/>
        <v>0.4</v>
      </c>
      <c r="Q435" s="7" t="str">
        <f>Raw_Data!M435</f>
        <v>UPI</v>
      </c>
      <c r="R435" s="7" t="str">
        <f>Raw_Data!N435</f>
        <v>No</v>
      </c>
    </row>
    <row r="436" spans="1:18" x14ac:dyDescent="0.25">
      <c r="A436" s="2" t="str">
        <f>Raw_Data!A436</f>
        <v>ORD-0435</v>
      </c>
      <c r="B436" s="3">
        <f>Raw_Data!B436</f>
        <v>45338</v>
      </c>
      <c r="C436" s="2" t="str">
        <f>TEXT(Raw_Data!B436,"MMM")</f>
        <v>Feb</v>
      </c>
      <c r="D436" s="2">
        <f>YEAR(Raw_Data!B436)</f>
        <v>2024</v>
      </c>
      <c r="E436" s="4" t="str">
        <f>Raw_Data!C436</f>
        <v>Kavita Kumar</v>
      </c>
      <c r="F436" s="2" t="str">
        <f>Raw_Data!D436</f>
        <v>Delhi</v>
      </c>
      <c r="G436" s="4" t="str">
        <f>Raw_Data!E436</f>
        <v>Antifungal Powder</v>
      </c>
      <c r="H436" s="2" t="str">
        <f>Raw_Data!F436</f>
        <v>Powder</v>
      </c>
      <c r="I436" s="2">
        <f>Raw_Data!G436</f>
        <v>4</v>
      </c>
      <c r="J436" s="5">
        <f>Raw_Data!H436</f>
        <v>55</v>
      </c>
      <c r="K436" s="5">
        <f>Raw_Data!I436</f>
        <v>30.25</v>
      </c>
      <c r="L436" s="5">
        <f>Raw_Data!J436</f>
        <v>220</v>
      </c>
      <c r="M436" s="6">
        <f>Raw_Data!K436</f>
        <v>5</v>
      </c>
      <c r="N436" s="5">
        <f>Raw_Data!L436</f>
        <v>209</v>
      </c>
      <c r="O436" s="5">
        <f t="shared" si="12"/>
        <v>99</v>
      </c>
      <c r="P436" s="13">
        <f t="shared" si="13"/>
        <v>0.45</v>
      </c>
      <c r="Q436" s="2" t="str">
        <f>Raw_Data!M436</f>
        <v>Card</v>
      </c>
      <c r="R436" s="2" t="str">
        <f>Raw_Data!N436</f>
        <v>No</v>
      </c>
    </row>
    <row r="437" spans="1:18" x14ac:dyDescent="0.25">
      <c r="A437" s="7" t="str">
        <f>Raw_Data!A437</f>
        <v>ORD-0436</v>
      </c>
      <c r="B437" s="8">
        <f>Raw_Data!B437</f>
        <v>45529</v>
      </c>
      <c r="C437" s="7" t="str">
        <f>TEXT(Raw_Data!B437,"MMM")</f>
        <v>Aug</v>
      </c>
      <c r="D437" s="7">
        <f>YEAR(Raw_Data!B437)</f>
        <v>2024</v>
      </c>
      <c r="E437" s="9" t="str">
        <f>Raw_Data!C437</f>
        <v>Pooja Tiwari</v>
      </c>
      <c r="F437" s="7" t="str">
        <f>Raw_Data!D437</f>
        <v>Bangalore</v>
      </c>
      <c r="G437" s="9" t="str">
        <f>Raw_Data!E437</f>
        <v>Amoxicillin 250mg</v>
      </c>
      <c r="H437" s="7" t="str">
        <f>Raw_Data!F437</f>
        <v>Tablet</v>
      </c>
      <c r="I437" s="7">
        <f>Raw_Data!G437</f>
        <v>2</v>
      </c>
      <c r="J437" s="10">
        <f>Raw_Data!H437</f>
        <v>85</v>
      </c>
      <c r="K437" s="10">
        <f>Raw_Data!I437</f>
        <v>44.2</v>
      </c>
      <c r="L437" s="10">
        <f>Raw_Data!J437</f>
        <v>170</v>
      </c>
      <c r="M437" s="11">
        <f>Raw_Data!K437</f>
        <v>5</v>
      </c>
      <c r="N437" s="10">
        <f>Raw_Data!L437</f>
        <v>161.5</v>
      </c>
      <c r="O437" s="10">
        <f t="shared" si="12"/>
        <v>81.599999999999994</v>
      </c>
      <c r="P437" s="14">
        <f t="shared" si="13"/>
        <v>0.48</v>
      </c>
      <c r="Q437" s="7" t="str">
        <f>Raw_Data!M437</f>
        <v>UPI</v>
      </c>
      <c r="R437" s="7" t="str">
        <f>Raw_Data!N437</f>
        <v>Yes</v>
      </c>
    </row>
    <row r="438" spans="1:18" x14ac:dyDescent="0.25">
      <c r="A438" s="2" t="str">
        <f>Raw_Data!A438</f>
        <v>ORD-0437</v>
      </c>
      <c r="B438" s="3">
        <f>Raw_Data!B438</f>
        <v>45351</v>
      </c>
      <c r="C438" s="2" t="str">
        <f>TEXT(Raw_Data!B438,"MMM")</f>
        <v>Feb</v>
      </c>
      <c r="D438" s="2">
        <f>YEAR(Raw_Data!B438)</f>
        <v>2024</v>
      </c>
      <c r="E438" s="4" t="str">
        <f>Raw_Data!C438</f>
        <v>Nisha Kumar</v>
      </c>
      <c r="F438" s="2" t="str">
        <f>Raw_Data!D438</f>
        <v>Mumbai</v>
      </c>
      <c r="G438" s="4" t="str">
        <f>Raw_Data!E438</f>
        <v>Paracetamol 500mg</v>
      </c>
      <c r="H438" s="2" t="str">
        <f>Raw_Data!F438</f>
        <v>Tablet</v>
      </c>
      <c r="I438" s="2">
        <f>Raw_Data!G438</f>
        <v>5</v>
      </c>
      <c r="J438" s="5">
        <f>Raw_Data!H438</f>
        <v>20</v>
      </c>
      <c r="K438" s="5">
        <f>Raw_Data!I438</f>
        <v>10.4</v>
      </c>
      <c r="L438" s="5">
        <f>Raw_Data!J438</f>
        <v>100</v>
      </c>
      <c r="M438" s="6">
        <f>Raw_Data!K438</f>
        <v>0</v>
      </c>
      <c r="N438" s="5">
        <f>Raw_Data!L438</f>
        <v>100</v>
      </c>
      <c r="O438" s="5">
        <f t="shared" si="12"/>
        <v>48</v>
      </c>
      <c r="P438" s="13">
        <f t="shared" si="13"/>
        <v>0.48</v>
      </c>
      <c r="Q438" s="2" t="str">
        <f>Raw_Data!M438</f>
        <v>UPI</v>
      </c>
      <c r="R438" s="2" t="str">
        <f>Raw_Data!N438</f>
        <v>Yes</v>
      </c>
    </row>
    <row r="439" spans="1:18" x14ac:dyDescent="0.25">
      <c r="A439" s="7" t="str">
        <f>Raw_Data!A439</f>
        <v>ORD-0438</v>
      </c>
      <c r="B439" s="8">
        <f>Raw_Data!B439</f>
        <v>45339</v>
      </c>
      <c r="C439" s="7" t="str">
        <f>TEXT(Raw_Data!B439,"MMM")</f>
        <v>Feb</v>
      </c>
      <c r="D439" s="7">
        <f>YEAR(Raw_Data!B439)</f>
        <v>2024</v>
      </c>
      <c r="E439" s="9" t="str">
        <f>Raw_Data!C439</f>
        <v>Nikhil Tiwari</v>
      </c>
      <c r="F439" s="7" t="str">
        <f>Raw_Data!D439</f>
        <v>Bangalore</v>
      </c>
      <c r="G439" s="9" t="str">
        <f>Raw_Data!E439</f>
        <v>Dexamethasone Inj</v>
      </c>
      <c r="H439" s="7" t="str">
        <f>Raw_Data!F439</f>
        <v>Injection</v>
      </c>
      <c r="I439" s="7">
        <f>Raw_Data!G439</f>
        <v>4</v>
      </c>
      <c r="J439" s="10">
        <f>Raw_Data!H439</f>
        <v>95</v>
      </c>
      <c r="K439" s="10">
        <f>Raw_Data!I439</f>
        <v>57</v>
      </c>
      <c r="L439" s="10">
        <f>Raw_Data!J439</f>
        <v>380</v>
      </c>
      <c r="M439" s="11">
        <f>Raw_Data!K439</f>
        <v>10</v>
      </c>
      <c r="N439" s="10">
        <f>Raw_Data!L439</f>
        <v>342</v>
      </c>
      <c r="O439" s="10">
        <f t="shared" si="12"/>
        <v>152</v>
      </c>
      <c r="P439" s="14">
        <f t="shared" si="13"/>
        <v>0.4</v>
      </c>
      <c r="Q439" s="7" t="str">
        <f>Raw_Data!M439</f>
        <v>Card</v>
      </c>
      <c r="R439" s="7" t="str">
        <f>Raw_Data!N439</f>
        <v>Yes</v>
      </c>
    </row>
    <row r="440" spans="1:18" x14ac:dyDescent="0.25">
      <c r="A440" s="2" t="str">
        <f>Raw_Data!A440</f>
        <v>ORD-0439</v>
      </c>
      <c r="B440" s="3">
        <f>Raw_Data!B440</f>
        <v>45536</v>
      </c>
      <c r="C440" s="2" t="str">
        <f>TEXT(Raw_Data!B440,"MMM")</f>
        <v>Sep</v>
      </c>
      <c r="D440" s="2">
        <f>YEAR(Raw_Data!B440)</f>
        <v>2024</v>
      </c>
      <c r="E440" s="4" t="str">
        <f>Raw_Data!C440</f>
        <v>Anjali Patel</v>
      </c>
      <c r="F440" s="2" t="str">
        <f>Raw_Data!D440</f>
        <v>Bangalore</v>
      </c>
      <c r="G440" s="4" t="str">
        <f>Raw_Data!E440</f>
        <v>Protein Supplement</v>
      </c>
      <c r="H440" s="2" t="str">
        <f>Raw_Data!F440</f>
        <v>Powder</v>
      </c>
      <c r="I440" s="2">
        <f>Raw_Data!G440</f>
        <v>4</v>
      </c>
      <c r="J440" s="5">
        <f>Raw_Data!H440</f>
        <v>450</v>
      </c>
      <c r="K440" s="5">
        <f>Raw_Data!I440</f>
        <v>247.5</v>
      </c>
      <c r="L440" s="5">
        <f>Raw_Data!J440</f>
        <v>1800</v>
      </c>
      <c r="M440" s="6">
        <f>Raw_Data!K440</f>
        <v>0</v>
      </c>
      <c r="N440" s="5">
        <f>Raw_Data!L440</f>
        <v>1800</v>
      </c>
      <c r="O440" s="5">
        <f t="shared" si="12"/>
        <v>810</v>
      </c>
      <c r="P440" s="13">
        <f t="shared" si="13"/>
        <v>0.45</v>
      </c>
      <c r="Q440" s="2" t="str">
        <f>Raw_Data!M440</f>
        <v>Cash</v>
      </c>
      <c r="R440" s="2" t="str">
        <f>Raw_Data!N440</f>
        <v>No</v>
      </c>
    </row>
    <row r="441" spans="1:18" x14ac:dyDescent="0.25">
      <c r="A441" s="7" t="str">
        <f>Raw_Data!A441</f>
        <v>ORD-0440</v>
      </c>
      <c r="B441" s="8">
        <f>Raw_Data!B441</f>
        <v>45505</v>
      </c>
      <c r="C441" s="7" t="str">
        <f>TEXT(Raw_Data!B441,"MMM")</f>
        <v>Aug</v>
      </c>
      <c r="D441" s="7">
        <f>YEAR(Raw_Data!B441)</f>
        <v>2024</v>
      </c>
      <c r="E441" s="9" t="str">
        <f>Raw_Data!C441</f>
        <v>Nisha Sharma</v>
      </c>
      <c r="F441" s="7" t="str">
        <f>Raw_Data!D441</f>
        <v>Surat</v>
      </c>
      <c r="G441" s="9" t="str">
        <f>Raw_Data!E441</f>
        <v>Cipla Eye Drops</v>
      </c>
      <c r="H441" s="7" t="str">
        <f>Raw_Data!F441</f>
        <v>Drops</v>
      </c>
      <c r="I441" s="7">
        <f>Raw_Data!G441</f>
        <v>15</v>
      </c>
      <c r="J441" s="10">
        <f>Raw_Data!H441</f>
        <v>70</v>
      </c>
      <c r="K441" s="10">
        <f>Raw_Data!I441</f>
        <v>31.5</v>
      </c>
      <c r="L441" s="10">
        <f>Raw_Data!J441</f>
        <v>1050</v>
      </c>
      <c r="M441" s="11">
        <f>Raw_Data!K441</f>
        <v>0</v>
      </c>
      <c r="N441" s="10">
        <f>Raw_Data!L441</f>
        <v>1050</v>
      </c>
      <c r="O441" s="10">
        <f t="shared" si="12"/>
        <v>577.5</v>
      </c>
      <c r="P441" s="14">
        <f t="shared" si="13"/>
        <v>0.55000000000000004</v>
      </c>
      <c r="Q441" s="7" t="str">
        <f>Raw_Data!M441</f>
        <v>UPI</v>
      </c>
      <c r="R441" s="7" t="str">
        <f>Raw_Data!N441</f>
        <v>No</v>
      </c>
    </row>
    <row r="442" spans="1:18" x14ac:dyDescent="0.25">
      <c r="A442" s="2" t="str">
        <f>Raw_Data!A442</f>
        <v>ORD-0441</v>
      </c>
      <c r="B442" s="3">
        <f>Raw_Data!B442</f>
        <v>45642</v>
      </c>
      <c r="C442" s="2" t="str">
        <f>TEXT(Raw_Data!B442,"MMM")</f>
        <v>Dec</v>
      </c>
      <c r="D442" s="2">
        <f>YEAR(Raw_Data!B442)</f>
        <v>2024</v>
      </c>
      <c r="E442" s="4" t="str">
        <f>Raw_Data!C442</f>
        <v>Priya Patel</v>
      </c>
      <c r="F442" s="2" t="str">
        <f>Raw_Data!D442</f>
        <v>Bangalore</v>
      </c>
      <c r="G442" s="4" t="str">
        <f>Raw_Data!E442</f>
        <v>Antifungal Powder</v>
      </c>
      <c r="H442" s="2" t="str">
        <f>Raw_Data!F442</f>
        <v>Powder</v>
      </c>
      <c r="I442" s="2">
        <f>Raw_Data!G442</f>
        <v>16</v>
      </c>
      <c r="J442" s="5">
        <f>Raw_Data!H442</f>
        <v>55</v>
      </c>
      <c r="K442" s="5">
        <f>Raw_Data!I442</f>
        <v>30.25</v>
      </c>
      <c r="L442" s="5">
        <f>Raw_Data!J442</f>
        <v>880</v>
      </c>
      <c r="M442" s="6">
        <f>Raw_Data!K442</f>
        <v>15</v>
      </c>
      <c r="N442" s="5">
        <f>Raw_Data!L442</f>
        <v>748</v>
      </c>
      <c r="O442" s="5">
        <f t="shared" si="12"/>
        <v>396</v>
      </c>
      <c r="P442" s="13">
        <f t="shared" si="13"/>
        <v>0.45</v>
      </c>
      <c r="Q442" s="2" t="str">
        <f>Raw_Data!M442</f>
        <v>Card</v>
      </c>
      <c r="R442" s="2" t="str">
        <f>Raw_Data!N442</f>
        <v>No</v>
      </c>
    </row>
    <row r="443" spans="1:18" x14ac:dyDescent="0.25">
      <c r="A443" s="7" t="str">
        <f>Raw_Data!A443</f>
        <v>ORD-0442</v>
      </c>
      <c r="B443" s="8">
        <f>Raw_Data!B443</f>
        <v>45425</v>
      </c>
      <c r="C443" s="7" t="str">
        <f>TEXT(Raw_Data!B443,"MMM")</f>
        <v>May</v>
      </c>
      <c r="D443" s="7">
        <f>YEAR(Raw_Data!B443)</f>
        <v>2024</v>
      </c>
      <c r="E443" s="9" t="str">
        <f>Raw_Data!C443</f>
        <v>Arjun Verma</v>
      </c>
      <c r="F443" s="7" t="str">
        <f>Raw_Data!D443</f>
        <v>Mumbai</v>
      </c>
      <c r="G443" s="9" t="str">
        <f>Raw_Data!E443</f>
        <v>Candid Cream</v>
      </c>
      <c r="H443" s="7" t="str">
        <f>Raw_Data!F443</f>
        <v>Cream</v>
      </c>
      <c r="I443" s="7">
        <f>Raw_Data!G443</f>
        <v>17</v>
      </c>
      <c r="J443" s="10">
        <f>Raw_Data!H443</f>
        <v>65</v>
      </c>
      <c r="K443" s="10">
        <f>Raw_Data!I443</f>
        <v>30.55</v>
      </c>
      <c r="L443" s="10">
        <f>Raw_Data!J443</f>
        <v>1105</v>
      </c>
      <c r="M443" s="11">
        <f>Raw_Data!K443</f>
        <v>5</v>
      </c>
      <c r="N443" s="10">
        <f>Raw_Data!L443</f>
        <v>1049.75</v>
      </c>
      <c r="O443" s="10">
        <f t="shared" si="12"/>
        <v>585.65</v>
      </c>
      <c r="P443" s="14">
        <f t="shared" si="13"/>
        <v>0.53</v>
      </c>
      <c r="Q443" s="7" t="str">
        <f>Raw_Data!M443</f>
        <v>UPI</v>
      </c>
      <c r="R443" s="7" t="str">
        <f>Raw_Data!N443</f>
        <v>No</v>
      </c>
    </row>
    <row r="444" spans="1:18" x14ac:dyDescent="0.25">
      <c r="A444" s="2" t="str">
        <f>Raw_Data!A444</f>
        <v>ORD-0443</v>
      </c>
      <c r="B444" s="3">
        <f>Raw_Data!B444</f>
        <v>45559</v>
      </c>
      <c r="C444" s="2" t="str">
        <f>TEXT(Raw_Data!B444,"MMM")</f>
        <v>Sep</v>
      </c>
      <c r="D444" s="2">
        <f>YEAR(Raw_Data!B444)</f>
        <v>2024</v>
      </c>
      <c r="E444" s="4" t="str">
        <f>Raw_Data!C444</f>
        <v>Meera Agarwal</v>
      </c>
      <c r="F444" s="2" t="str">
        <f>Raw_Data!D444</f>
        <v>Surat</v>
      </c>
      <c r="G444" s="4" t="str">
        <f>Raw_Data!E444</f>
        <v>Soframycin Cream</v>
      </c>
      <c r="H444" s="2" t="str">
        <f>Raw_Data!F444</f>
        <v>Cream</v>
      </c>
      <c r="I444" s="2">
        <f>Raw_Data!G444</f>
        <v>4</v>
      </c>
      <c r="J444" s="5">
        <f>Raw_Data!H444</f>
        <v>72</v>
      </c>
      <c r="K444" s="5">
        <f>Raw_Data!I444</f>
        <v>33.840000000000003</v>
      </c>
      <c r="L444" s="5">
        <f>Raw_Data!J444</f>
        <v>288</v>
      </c>
      <c r="M444" s="6">
        <f>Raw_Data!K444</f>
        <v>10</v>
      </c>
      <c r="N444" s="5">
        <f>Raw_Data!L444</f>
        <v>259.2</v>
      </c>
      <c r="O444" s="5">
        <f t="shared" si="12"/>
        <v>152.63999999999999</v>
      </c>
      <c r="P444" s="13">
        <f t="shared" si="13"/>
        <v>0.52999999999999992</v>
      </c>
      <c r="Q444" s="2" t="str">
        <f>Raw_Data!M444</f>
        <v>Cash</v>
      </c>
      <c r="R444" s="2" t="str">
        <f>Raw_Data!N444</f>
        <v>No</v>
      </c>
    </row>
    <row r="445" spans="1:18" x14ac:dyDescent="0.25">
      <c r="A445" s="7" t="str">
        <f>Raw_Data!A445</f>
        <v>ORD-0444</v>
      </c>
      <c r="B445" s="8">
        <f>Raw_Data!B445</f>
        <v>45638</v>
      </c>
      <c r="C445" s="7" t="str">
        <f>TEXT(Raw_Data!B445,"MMM")</f>
        <v>Dec</v>
      </c>
      <c r="D445" s="7">
        <f>YEAR(Raw_Data!B445)</f>
        <v>2024</v>
      </c>
      <c r="E445" s="9" t="str">
        <f>Raw_Data!C445</f>
        <v>Manish Mishra</v>
      </c>
      <c r="F445" s="7" t="str">
        <f>Raw_Data!D445</f>
        <v>Bangalore</v>
      </c>
      <c r="G445" s="9" t="str">
        <f>Raw_Data!E445</f>
        <v>Candid Cream</v>
      </c>
      <c r="H445" s="7" t="str">
        <f>Raw_Data!F445</f>
        <v>Cream</v>
      </c>
      <c r="I445" s="7">
        <f>Raw_Data!G445</f>
        <v>18</v>
      </c>
      <c r="J445" s="10">
        <f>Raw_Data!H445</f>
        <v>65</v>
      </c>
      <c r="K445" s="10">
        <f>Raw_Data!I445</f>
        <v>30.55</v>
      </c>
      <c r="L445" s="10">
        <f>Raw_Data!J445</f>
        <v>1170</v>
      </c>
      <c r="M445" s="11">
        <f>Raw_Data!K445</f>
        <v>0</v>
      </c>
      <c r="N445" s="10">
        <f>Raw_Data!L445</f>
        <v>1170</v>
      </c>
      <c r="O445" s="10">
        <f t="shared" si="12"/>
        <v>620.1</v>
      </c>
      <c r="P445" s="14">
        <f t="shared" si="13"/>
        <v>0.53</v>
      </c>
      <c r="Q445" s="7" t="str">
        <f>Raw_Data!M445</f>
        <v>UPI</v>
      </c>
      <c r="R445" s="7" t="str">
        <f>Raw_Data!N445</f>
        <v>Yes</v>
      </c>
    </row>
    <row r="446" spans="1:18" x14ac:dyDescent="0.25">
      <c r="A446" s="2" t="str">
        <f>Raw_Data!A446</f>
        <v>ORD-0445</v>
      </c>
      <c r="B446" s="3">
        <f>Raw_Data!B446</f>
        <v>45532</v>
      </c>
      <c r="C446" s="2" t="str">
        <f>TEXT(Raw_Data!B446,"MMM")</f>
        <v>Aug</v>
      </c>
      <c r="D446" s="2">
        <f>YEAR(Raw_Data!B446)</f>
        <v>2024</v>
      </c>
      <c r="E446" s="4" t="str">
        <f>Raw_Data!C446</f>
        <v>Suresh Sharma</v>
      </c>
      <c r="F446" s="2" t="str">
        <f>Raw_Data!D446</f>
        <v>Bangalore</v>
      </c>
      <c r="G446" s="4" t="str">
        <f>Raw_Data!E446</f>
        <v>Protein Supplement</v>
      </c>
      <c r="H446" s="2" t="str">
        <f>Raw_Data!F446</f>
        <v>Powder</v>
      </c>
      <c r="I446" s="2">
        <f>Raw_Data!G446</f>
        <v>3</v>
      </c>
      <c r="J446" s="5">
        <f>Raw_Data!H446</f>
        <v>450</v>
      </c>
      <c r="K446" s="5">
        <f>Raw_Data!I446</f>
        <v>247.5</v>
      </c>
      <c r="L446" s="5">
        <f>Raw_Data!J446</f>
        <v>1350</v>
      </c>
      <c r="M446" s="6">
        <f>Raw_Data!K446</f>
        <v>15</v>
      </c>
      <c r="N446" s="5">
        <f>Raw_Data!L446</f>
        <v>1147.5</v>
      </c>
      <c r="O446" s="5">
        <f t="shared" si="12"/>
        <v>607.5</v>
      </c>
      <c r="P446" s="13">
        <f t="shared" si="13"/>
        <v>0.45</v>
      </c>
      <c r="Q446" s="2" t="str">
        <f>Raw_Data!M446</f>
        <v>Card</v>
      </c>
      <c r="R446" s="2" t="str">
        <f>Raw_Data!N446</f>
        <v>No</v>
      </c>
    </row>
    <row r="447" spans="1:18" x14ac:dyDescent="0.25">
      <c r="A447" s="7" t="str">
        <f>Raw_Data!A447</f>
        <v>ORD-0446</v>
      </c>
      <c r="B447" s="8">
        <f>Raw_Data!B447</f>
        <v>45551</v>
      </c>
      <c r="C447" s="7" t="str">
        <f>TEXT(Raw_Data!B447,"MMM")</f>
        <v>Sep</v>
      </c>
      <c r="D447" s="7">
        <f>YEAR(Raw_Data!B447)</f>
        <v>2024</v>
      </c>
      <c r="E447" s="9" t="str">
        <f>Raw_Data!C447</f>
        <v>Vijay Shah</v>
      </c>
      <c r="F447" s="7" t="str">
        <f>Raw_Data!D447</f>
        <v>Kolkata</v>
      </c>
      <c r="G447" s="9" t="str">
        <f>Raw_Data!E447</f>
        <v>Antacid Syrup</v>
      </c>
      <c r="H447" s="7" t="str">
        <f>Raw_Data!F447</f>
        <v>Syrup</v>
      </c>
      <c r="I447" s="7">
        <f>Raw_Data!G447</f>
        <v>13</v>
      </c>
      <c r="J447" s="10">
        <f>Raw_Data!H447</f>
        <v>80</v>
      </c>
      <c r="K447" s="10">
        <f>Raw_Data!I447</f>
        <v>38.4</v>
      </c>
      <c r="L447" s="10">
        <f>Raw_Data!J447</f>
        <v>1040</v>
      </c>
      <c r="M447" s="11">
        <f>Raw_Data!K447</f>
        <v>5</v>
      </c>
      <c r="N447" s="10">
        <f>Raw_Data!L447</f>
        <v>988</v>
      </c>
      <c r="O447" s="10">
        <f t="shared" si="12"/>
        <v>540.79999999999995</v>
      </c>
      <c r="P447" s="14">
        <f t="shared" si="13"/>
        <v>0.51999999999999991</v>
      </c>
      <c r="Q447" s="7" t="str">
        <f>Raw_Data!M447</f>
        <v>Card</v>
      </c>
      <c r="R447" s="7" t="str">
        <f>Raw_Data!N447</f>
        <v>Yes</v>
      </c>
    </row>
    <row r="448" spans="1:18" x14ac:dyDescent="0.25">
      <c r="A448" s="2" t="str">
        <f>Raw_Data!A448</f>
        <v>ORD-0447</v>
      </c>
      <c r="B448" s="3">
        <f>Raw_Data!B448</f>
        <v>45337</v>
      </c>
      <c r="C448" s="2" t="str">
        <f>TEXT(Raw_Data!B448,"MMM")</f>
        <v>Feb</v>
      </c>
      <c r="D448" s="2">
        <f>YEAR(Raw_Data!B448)</f>
        <v>2024</v>
      </c>
      <c r="E448" s="4" t="str">
        <f>Raw_Data!C448</f>
        <v>Rahul Patel</v>
      </c>
      <c r="F448" s="2" t="str">
        <f>Raw_Data!D448</f>
        <v>Ahmedabad</v>
      </c>
      <c r="G448" s="4" t="str">
        <f>Raw_Data!E448</f>
        <v>Protein Supplement</v>
      </c>
      <c r="H448" s="2" t="str">
        <f>Raw_Data!F448</f>
        <v>Powder</v>
      </c>
      <c r="I448" s="2">
        <f>Raw_Data!G448</f>
        <v>11</v>
      </c>
      <c r="J448" s="5">
        <f>Raw_Data!H448</f>
        <v>450</v>
      </c>
      <c r="K448" s="5">
        <f>Raw_Data!I448</f>
        <v>247.5</v>
      </c>
      <c r="L448" s="5">
        <f>Raw_Data!J448</f>
        <v>4950</v>
      </c>
      <c r="M448" s="6">
        <f>Raw_Data!K448</f>
        <v>0</v>
      </c>
      <c r="N448" s="5">
        <f>Raw_Data!L448</f>
        <v>4950</v>
      </c>
      <c r="O448" s="5">
        <f t="shared" si="12"/>
        <v>2227.5</v>
      </c>
      <c r="P448" s="13">
        <f t="shared" si="13"/>
        <v>0.45</v>
      </c>
      <c r="Q448" s="2" t="str">
        <f>Raw_Data!M448</f>
        <v>UPI</v>
      </c>
      <c r="R448" s="2" t="str">
        <f>Raw_Data!N448</f>
        <v>No</v>
      </c>
    </row>
    <row r="449" spans="1:18" x14ac:dyDescent="0.25">
      <c r="A449" s="7" t="str">
        <f>Raw_Data!A449</f>
        <v>ORD-0448</v>
      </c>
      <c r="B449" s="8">
        <f>Raw_Data!B449</f>
        <v>45498</v>
      </c>
      <c r="C449" s="7" t="str">
        <f>TEXT(Raw_Data!B449,"MMM")</f>
        <v>Jul</v>
      </c>
      <c r="D449" s="7">
        <f>YEAR(Raw_Data!B449)</f>
        <v>2024</v>
      </c>
      <c r="E449" s="9" t="str">
        <f>Raw_Data!C449</f>
        <v>Nisha Agarwal</v>
      </c>
      <c r="F449" s="7" t="str">
        <f>Raw_Data!D449</f>
        <v>Jaipur</v>
      </c>
      <c r="G449" s="9" t="str">
        <f>Raw_Data!E449</f>
        <v>Omeprazole 20mg</v>
      </c>
      <c r="H449" s="7" t="str">
        <f>Raw_Data!F449</f>
        <v>Capsule</v>
      </c>
      <c r="I449" s="7">
        <f>Raw_Data!G449</f>
        <v>18</v>
      </c>
      <c r="J449" s="10">
        <f>Raw_Data!H449</f>
        <v>40</v>
      </c>
      <c r="K449" s="10">
        <f>Raw_Data!I449</f>
        <v>20</v>
      </c>
      <c r="L449" s="10">
        <f>Raw_Data!J449</f>
        <v>720</v>
      </c>
      <c r="M449" s="11">
        <f>Raw_Data!K449</f>
        <v>0</v>
      </c>
      <c r="N449" s="10">
        <f>Raw_Data!L449</f>
        <v>720</v>
      </c>
      <c r="O449" s="10">
        <f t="shared" si="12"/>
        <v>360</v>
      </c>
      <c r="P449" s="14">
        <f t="shared" si="13"/>
        <v>0.5</v>
      </c>
      <c r="Q449" s="7" t="str">
        <f>Raw_Data!M449</f>
        <v>UPI</v>
      </c>
      <c r="R449" s="7" t="str">
        <f>Raw_Data!N449</f>
        <v>No</v>
      </c>
    </row>
    <row r="450" spans="1:18" x14ac:dyDescent="0.25">
      <c r="A450" s="2" t="str">
        <f>Raw_Data!A450</f>
        <v>ORD-0449</v>
      </c>
      <c r="B450" s="3">
        <f>Raw_Data!B450</f>
        <v>45447</v>
      </c>
      <c r="C450" s="2" t="str">
        <f>TEXT(Raw_Data!B450,"MMM")</f>
        <v>Jun</v>
      </c>
      <c r="D450" s="2">
        <f>YEAR(Raw_Data!B450)</f>
        <v>2024</v>
      </c>
      <c r="E450" s="4" t="str">
        <f>Raw_Data!C450</f>
        <v>Deepa Mishra</v>
      </c>
      <c r="F450" s="2" t="str">
        <f>Raw_Data!D450</f>
        <v>Hyderabad</v>
      </c>
      <c r="G450" s="4" t="str">
        <f>Raw_Data!E450</f>
        <v>Refresh Tears</v>
      </c>
      <c r="H450" s="2" t="str">
        <f>Raw_Data!F450</f>
        <v>Drops</v>
      </c>
      <c r="I450" s="2">
        <f>Raw_Data!G450</f>
        <v>15</v>
      </c>
      <c r="J450" s="5">
        <f>Raw_Data!H450</f>
        <v>110</v>
      </c>
      <c r="K450" s="5">
        <f>Raw_Data!I450</f>
        <v>49.5</v>
      </c>
      <c r="L450" s="5">
        <f>Raw_Data!J450</f>
        <v>1650</v>
      </c>
      <c r="M450" s="6">
        <f>Raw_Data!K450</f>
        <v>10</v>
      </c>
      <c r="N450" s="5">
        <f>Raw_Data!L450</f>
        <v>1485</v>
      </c>
      <c r="O450" s="5">
        <f t="shared" ref="O450:O501" si="14">L450-(I450*K450)</f>
        <v>907.5</v>
      </c>
      <c r="P450" s="13">
        <f t="shared" ref="P450:P501" si="15">IFERROR((L450-(I450*K450))/L450,0)</f>
        <v>0.55000000000000004</v>
      </c>
      <c r="Q450" s="2" t="str">
        <f>Raw_Data!M450</f>
        <v>Cash</v>
      </c>
      <c r="R450" s="2" t="str">
        <f>Raw_Data!N450</f>
        <v>Yes</v>
      </c>
    </row>
    <row r="451" spans="1:18" x14ac:dyDescent="0.25">
      <c r="A451" s="7" t="str">
        <f>Raw_Data!A451</f>
        <v>ORD-0450</v>
      </c>
      <c r="B451" s="8">
        <f>Raw_Data!B451</f>
        <v>45524</v>
      </c>
      <c r="C451" s="7" t="str">
        <f>TEXT(Raw_Data!B451,"MMM")</f>
        <v>Aug</v>
      </c>
      <c r="D451" s="7">
        <f>YEAR(Raw_Data!B451)</f>
        <v>2024</v>
      </c>
      <c r="E451" s="9" t="str">
        <f>Raw_Data!C451</f>
        <v>Rahul Joshi</v>
      </c>
      <c r="F451" s="7" t="str">
        <f>Raw_Data!D451</f>
        <v>Pune</v>
      </c>
      <c r="G451" s="9" t="str">
        <f>Raw_Data!E451</f>
        <v>Vitamin B12 Inj</v>
      </c>
      <c r="H451" s="7" t="str">
        <f>Raw_Data!F451</f>
        <v>Injection</v>
      </c>
      <c r="I451" s="7">
        <f>Raw_Data!G451</f>
        <v>15</v>
      </c>
      <c r="J451" s="10">
        <f>Raw_Data!H451</f>
        <v>60</v>
      </c>
      <c r="K451" s="10">
        <f>Raw_Data!I451</f>
        <v>36</v>
      </c>
      <c r="L451" s="10">
        <f>Raw_Data!J451</f>
        <v>900</v>
      </c>
      <c r="M451" s="11">
        <f>Raw_Data!K451</f>
        <v>0</v>
      </c>
      <c r="N451" s="10">
        <f>Raw_Data!L451</f>
        <v>900</v>
      </c>
      <c r="O451" s="10">
        <f t="shared" si="14"/>
        <v>360</v>
      </c>
      <c r="P451" s="14">
        <f t="shared" si="15"/>
        <v>0.4</v>
      </c>
      <c r="Q451" s="7" t="str">
        <f>Raw_Data!M451</f>
        <v>UPI</v>
      </c>
      <c r="R451" s="7" t="str">
        <f>Raw_Data!N451</f>
        <v>Yes</v>
      </c>
    </row>
    <row r="452" spans="1:18" x14ac:dyDescent="0.25">
      <c r="A452" s="2" t="str">
        <f>Raw_Data!A452</f>
        <v>ORD-0451</v>
      </c>
      <c r="B452" s="3">
        <f>Raw_Data!B452</f>
        <v>45473</v>
      </c>
      <c r="C452" s="2" t="str">
        <f>TEXT(Raw_Data!B452,"MMM")</f>
        <v>Jun</v>
      </c>
      <c r="D452" s="2">
        <f>YEAR(Raw_Data!B452)</f>
        <v>2024</v>
      </c>
      <c r="E452" s="4" t="str">
        <f>Raw_Data!C452</f>
        <v>Anjali Shah</v>
      </c>
      <c r="F452" s="2" t="str">
        <f>Raw_Data!D452</f>
        <v>Chennai</v>
      </c>
      <c r="G452" s="4" t="str">
        <f>Raw_Data!E452</f>
        <v>Antifungal Powder</v>
      </c>
      <c r="H452" s="2" t="str">
        <f>Raw_Data!F452</f>
        <v>Powder</v>
      </c>
      <c r="I452" s="2">
        <f>Raw_Data!G452</f>
        <v>18</v>
      </c>
      <c r="J452" s="5">
        <f>Raw_Data!H452</f>
        <v>55</v>
      </c>
      <c r="K452" s="5">
        <f>Raw_Data!I452</f>
        <v>30.25</v>
      </c>
      <c r="L452" s="5">
        <f>Raw_Data!J452</f>
        <v>990</v>
      </c>
      <c r="M452" s="6">
        <f>Raw_Data!K452</f>
        <v>20</v>
      </c>
      <c r="N452" s="5">
        <f>Raw_Data!L452</f>
        <v>792</v>
      </c>
      <c r="O452" s="5">
        <f t="shared" si="14"/>
        <v>445.5</v>
      </c>
      <c r="P452" s="13">
        <f t="shared" si="15"/>
        <v>0.45</v>
      </c>
      <c r="Q452" s="2" t="str">
        <f>Raw_Data!M452</f>
        <v>Cash</v>
      </c>
      <c r="R452" s="2" t="str">
        <f>Raw_Data!N452</f>
        <v>No</v>
      </c>
    </row>
    <row r="453" spans="1:18" x14ac:dyDescent="0.25">
      <c r="A453" s="7" t="str">
        <f>Raw_Data!A453</f>
        <v>ORD-0452</v>
      </c>
      <c r="B453" s="8">
        <f>Raw_Data!B453</f>
        <v>45363</v>
      </c>
      <c r="C453" s="7" t="str">
        <f>TEXT(Raw_Data!B453,"MMM")</f>
        <v>Mar</v>
      </c>
      <c r="D453" s="7">
        <f>YEAR(Raw_Data!B453)</f>
        <v>2024</v>
      </c>
      <c r="E453" s="9" t="str">
        <f>Raw_Data!C453</f>
        <v>Nikhil Singh</v>
      </c>
      <c r="F453" s="7" t="str">
        <f>Raw_Data!D453</f>
        <v>Kolkata</v>
      </c>
      <c r="G453" s="9" t="str">
        <f>Raw_Data!E453</f>
        <v>Antifungal Powder</v>
      </c>
      <c r="H453" s="7" t="str">
        <f>Raw_Data!F453</f>
        <v>Powder</v>
      </c>
      <c r="I453" s="7">
        <f>Raw_Data!G453</f>
        <v>4</v>
      </c>
      <c r="J453" s="10">
        <f>Raw_Data!H453</f>
        <v>55</v>
      </c>
      <c r="K453" s="10">
        <f>Raw_Data!I453</f>
        <v>30.25</v>
      </c>
      <c r="L453" s="10">
        <f>Raw_Data!J453</f>
        <v>220</v>
      </c>
      <c r="M453" s="11">
        <f>Raw_Data!K453</f>
        <v>5</v>
      </c>
      <c r="N453" s="10">
        <f>Raw_Data!L453</f>
        <v>209</v>
      </c>
      <c r="O453" s="10">
        <f t="shared" si="14"/>
        <v>99</v>
      </c>
      <c r="P453" s="14">
        <f t="shared" si="15"/>
        <v>0.45</v>
      </c>
      <c r="Q453" s="7" t="str">
        <f>Raw_Data!M453</f>
        <v>Cash</v>
      </c>
      <c r="R453" s="7" t="str">
        <f>Raw_Data!N453</f>
        <v>No</v>
      </c>
    </row>
    <row r="454" spans="1:18" x14ac:dyDescent="0.25">
      <c r="A454" s="2" t="str">
        <f>Raw_Data!A454</f>
        <v>ORD-0453</v>
      </c>
      <c r="B454" s="3">
        <f>Raw_Data!B454</f>
        <v>45526</v>
      </c>
      <c r="C454" s="2" t="str">
        <f>TEXT(Raw_Data!B454,"MMM")</f>
        <v>Aug</v>
      </c>
      <c r="D454" s="2">
        <f>YEAR(Raw_Data!B454)</f>
        <v>2024</v>
      </c>
      <c r="E454" s="4" t="str">
        <f>Raw_Data!C454</f>
        <v>Vijay Patel</v>
      </c>
      <c r="F454" s="2" t="str">
        <f>Raw_Data!D454</f>
        <v>Pune</v>
      </c>
      <c r="G454" s="4" t="str">
        <f>Raw_Data!E454</f>
        <v>ORS Electrolyte</v>
      </c>
      <c r="H454" s="2" t="str">
        <f>Raw_Data!F454</f>
        <v>Powder</v>
      </c>
      <c r="I454" s="2">
        <f>Raw_Data!G454</f>
        <v>4</v>
      </c>
      <c r="J454" s="5">
        <f>Raw_Data!H454</f>
        <v>30</v>
      </c>
      <c r="K454" s="5">
        <f>Raw_Data!I454</f>
        <v>16.5</v>
      </c>
      <c r="L454" s="5">
        <f>Raw_Data!J454</f>
        <v>120</v>
      </c>
      <c r="M454" s="6">
        <f>Raw_Data!K454</f>
        <v>10</v>
      </c>
      <c r="N454" s="5">
        <f>Raw_Data!L454</f>
        <v>108</v>
      </c>
      <c r="O454" s="5">
        <f t="shared" si="14"/>
        <v>54</v>
      </c>
      <c r="P454" s="13">
        <f t="shared" si="15"/>
        <v>0.45</v>
      </c>
      <c r="Q454" s="2" t="str">
        <f>Raw_Data!M454</f>
        <v>UPI</v>
      </c>
      <c r="R454" s="2" t="str">
        <f>Raw_Data!N454</f>
        <v>Yes</v>
      </c>
    </row>
    <row r="455" spans="1:18" x14ac:dyDescent="0.25">
      <c r="A455" s="7" t="str">
        <f>Raw_Data!A455</f>
        <v>ORD-0454</v>
      </c>
      <c r="B455" s="8">
        <f>Raw_Data!B455</f>
        <v>45522</v>
      </c>
      <c r="C455" s="7" t="str">
        <f>TEXT(Raw_Data!B455,"MMM")</f>
        <v>Aug</v>
      </c>
      <c r="D455" s="7">
        <f>YEAR(Raw_Data!B455)</f>
        <v>2024</v>
      </c>
      <c r="E455" s="9" t="str">
        <f>Raw_Data!C455</f>
        <v>Pooja Mishra</v>
      </c>
      <c r="F455" s="7" t="str">
        <f>Raw_Data!D455</f>
        <v>Ahmedabad</v>
      </c>
      <c r="G455" s="9" t="str">
        <f>Raw_Data!E455</f>
        <v>Doxycycline 100mg</v>
      </c>
      <c r="H455" s="7" t="str">
        <f>Raw_Data!F455</f>
        <v>Capsule</v>
      </c>
      <c r="I455" s="7">
        <f>Raw_Data!G455</f>
        <v>1</v>
      </c>
      <c r="J455" s="10">
        <f>Raw_Data!H455</f>
        <v>90</v>
      </c>
      <c r="K455" s="10">
        <f>Raw_Data!I455</f>
        <v>45</v>
      </c>
      <c r="L455" s="10">
        <f>Raw_Data!J455</f>
        <v>90</v>
      </c>
      <c r="M455" s="11">
        <f>Raw_Data!K455</f>
        <v>20</v>
      </c>
      <c r="N455" s="10">
        <f>Raw_Data!L455</f>
        <v>72</v>
      </c>
      <c r="O455" s="10">
        <f t="shared" si="14"/>
        <v>45</v>
      </c>
      <c r="P455" s="14">
        <f t="shared" si="15"/>
        <v>0.5</v>
      </c>
      <c r="Q455" s="7" t="str">
        <f>Raw_Data!M455</f>
        <v>Card</v>
      </c>
      <c r="R455" s="7" t="str">
        <f>Raw_Data!N455</f>
        <v>No</v>
      </c>
    </row>
    <row r="456" spans="1:18" x14ac:dyDescent="0.25">
      <c r="A456" s="2" t="str">
        <f>Raw_Data!A456</f>
        <v>ORD-0455</v>
      </c>
      <c r="B456" s="3">
        <f>Raw_Data!B456</f>
        <v>45591</v>
      </c>
      <c r="C456" s="2" t="str">
        <f>TEXT(Raw_Data!B456,"MMM")</f>
        <v>Oct</v>
      </c>
      <c r="D456" s="2">
        <f>YEAR(Raw_Data!B456)</f>
        <v>2024</v>
      </c>
      <c r="E456" s="4" t="str">
        <f>Raw_Data!C456</f>
        <v>Nisha Nair</v>
      </c>
      <c r="F456" s="2" t="str">
        <f>Raw_Data!D456</f>
        <v>Surat</v>
      </c>
      <c r="G456" s="4" t="str">
        <f>Raw_Data!E456</f>
        <v>Doxycycline 100mg</v>
      </c>
      <c r="H456" s="2" t="str">
        <f>Raw_Data!F456</f>
        <v>Capsule</v>
      </c>
      <c r="I456" s="2">
        <f>Raw_Data!G456</f>
        <v>6</v>
      </c>
      <c r="J456" s="5">
        <f>Raw_Data!H456</f>
        <v>90</v>
      </c>
      <c r="K456" s="5">
        <f>Raw_Data!I456</f>
        <v>45</v>
      </c>
      <c r="L456" s="5">
        <f>Raw_Data!J456</f>
        <v>540</v>
      </c>
      <c r="M456" s="6">
        <f>Raw_Data!K456</f>
        <v>0</v>
      </c>
      <c r="N456" s="5">
        <f>Raw_Data!L456</f>
        <v>540</v>
      </c>
      <c r="O456" s="5">
        <f t="shared" si="14"/>
        <v>270</v>
      </c>
      <c r="P456" s="13">
        <f t="shared" si="15"/>
        <v>0.5</v>
      </c>
      <c r="Q456" s="2" t="str">
        <f>Raw_Data!M456</f>
        <v>UPI</v>
      </c>
      <c r="R456" s="2" t="str">
        <f>Raw_Data!N456</f>
        <v>Yes</v>
      </c>
    </row>
    <row r="457" spans="1:18" x14ac:dyDescent="0.25">
      <c r="A457" s="7" t="str">
        <f>Raw_Data!A457</f>
        <v>ORD-0456</v>
      </c>
      <c r="B457" s="8">
        <f>Raw_Data!B457</f>
        <v>45456</v>
      </c>
      <c r="C457" s="7" t="str">
        <f>TEXT(Raw_Data!B457,"MMM")</f>
        <v>Jun</v>
      </c>
      <c r="D457" s="7">
        <f>YEAR(Raw_Data!B457)</f>
        <v>2024</v>
      </c>
      <c r="E457" s="9" t="str">
        <f>Raw_Data!C457</f>
        <v>Kavita Shah</v>
      </c>
      <c r="F457" s="7" t="str">
        <f>Raw_Data!D457</f>
        <v>Kolkata</v>
      </c>
      <c r="G457" s="9" t="str">
        <f>Raw_Data!E457</f>
        <v>Cipla Eye Drops</v>
      </c>
      <c r="H457" s="7" t="str">
        <f>Raw_Data!F457</f>
        <v>Drops</v>
      </c>
      <c r="I457" s="7">
        <f>Raw_Data!G457</f>
        <v>20</v>
      </c>
      <c r="J457" s="10">
        <f>Raw_Data!H457</f>
        <v>70</v>
      </c>
      <c r="K457" s="10">
        <f>Raw_Data!I457</f>
        <v>31.5</v>
      </c>
      <c r="L457" s="10">
        <f>Raw_Data!J457</f>
        <v>1400</v>
      </c>
      <c r="M457" s="11">
        <f>Raw_Data!K457</f>
        <v>5</v>
      </c>
      <c r="N457" s="10">
        <f>Raw_Data!L457</f>
        <v>1330</v>
      </c>
      <c r="O457" s="10">
        <f t="shared" si="14"/>
        <v>770</v>
      </c>
      <c r="P457" s="14">
        <f t="shared" si="15"/>
        <v>0.55000000000000004</v>
      </c>
      <c r="Q457" s="7" t="str">
        <f>Raw_Data!M457</f>
        <v>UPI</v>
      </c>
      <c r="R457" s="7" t="str">
        <f>Raw_Data!N457</f>
        <v>Yes</v>
      </c>
    </row>
    <row r="458" spans="1:18" x14ac:dyDescent="0.25">
      <c r="A458" s="2" t="str">
        <f>Raw_Data!A458</f>
        <v>ORD-0457</v>
      </c>
      <c r="B458" s="3">
        <f>Raw_Data!B458</f>
        <v>45360</v>
      </c>
      <c r="C458" s="2" t="str">
        <f>TEXT(Raw_Data!B458,"MMM")</f>
        <v>Mar</v>
      </c>
      <c r="D458" s="2">
        <f>YEAR(Raw_Data!B458)</f>
        <v>2024</v>
      </c>
      <c r="E458" s="4" t="str">
        <f>Raw_Data!C458</f>
        <v>Arjun Tiwari</v>
      </c>
      <c r="F458" s="2" t="str">
        <f>Raw_Data!D458</f>
        <v>Surat</v>
      </c>
      <c r="G458" s="4" t="str">
        <f>Raw_Data!E458</f>
        <v>Cetirizine Syrup</v>
      </c>
      <c r="H458" s="2" t="str">
        <f>Raw_Data!F458</f>
        <v>Syrup</v>
      </c>
      <c r="I458" s="2">
        <f>Raw_Data!G458</f>
        <v>17</v>
      </c>
      <c r="J458" s="5">
        <f>Raw_Data!H458</f>
        <v>55</v>
      </c>
      <c r="K458" s="5">
        <f>Raw_Data!I458</f>
        <v>26.4</v>
      </c>
      <c r="L458" s="5">
        <f>Raw_Data!J458</f>
        <v>935</v>
      </c>
      <c r="M458" s="6">
        <f>Raw_Data!K458</f>
        <v>5</v>
      </c>
      <c r="N458" s="5">
        <f>Raw_Data!L458</f>
        <v>888.25</v>
      </c>
      <c r="O458" s="5">
        <f t="shared" si="14"/>
        <v>486.20000000000005</v>
      </c>
      <c r="P458" s="13">
        <f t="shared" si="15"/>
        <v>0.52</v>
      </c>
      <c r="Q458" s="2" t="str">
        <f>Raw_Data!M458</f>
        <v>Card</v>
      </c>
      <c r="R458" s="2" t="str">
        <f>Raw_Data!N458</f>
        <v>No</v>
      </c>
    </row>
    <row r="459" spans="1:18" x14ac:dyDescent="0.25">
      <c r="A459" s="7" t="str">
        <f>Raw_Data!A459</f>
        <v>ORD-0458</v>
      </c>
      <c r="B459" s="8">
        <f>Raw_Data!B459</f>
        <v>45575</v>
      </c>
      <c r="C459" s="7" t="str">
        <f>TEXT(Raw_Data!B459,"MMM")</f>
        <v>Oct</v>
      </c>
      <c r="D459" s="7">
        <f>YEAR(Raw_Data!B459)</f>
        <v>2024</v>
      </c>
      <c r="E459" s="9" t="str">
        <f>Raw_Data!C459</f>
        <v>Vikram Tiwari</v>
      </c>
      <c r="F459" s="7" t="str">
        <f>Raw_Data!D459</f>
        <v>Hyderabad</v>
      </c>
      <c r="G459" s="9" t="str">
        <f>Raw_Data!E459</f>
        <v>Betadine Cream</v>
      </c>
      <c r="H459" s="7" t="str">
        <f>Raw_Data!F459</f>
        <v>Cream</v>
      </c>
      <c r="I459" s="7">
        <f>Raw_Data!G459</f>
        <v>7</v>
      </c>
      <c r="J459" s="10">
        <f>Raw_Data!H459</f>
        <v>85</v>
      </c>
      <c r="K459" s="10">
        <f>Raw_Data!I459</f>
        <v>39.950000000000003</v>
      </c>
      <c r="L459" s="10">
        <f>Raw_Data!J459</f>
        <v>595</v>
      </c>
      <c r="M459" s="11">
        <f>Raw_Data!K459</f>
        <v>5</v>
      </c>
      <c r="N459" s="10">
        <f>Raw_Data!L459</f>
        <v>565.25</v>
      </c>
      <c r="O459" s="10">
        <f t="shared" si="14"/>
        <v>315.34999999999997</v>
      </c>
      <c r="P459" s="14">
        <f t="shared" si="15"/>
        <v>0.52999999999999992</v>
      </c>
      <c r="Q459" s="7" t="str">
        <f>Raw_Data!M459</f>
        <v>UPI</v>
      </c>
      <c r="R459" s="7" t="str">
        <f>Raw_Data!N459</f>
        <v>No</v>
      </c>
    </row>
    <row r="460" spans="1:18" x14ac:dyDescent="0.25">
      <c r="A460" s="2" t="str">
        <f>Raw_Data!A460</f>
        <v>ORD-0459</v>
      </c>
      <c r="B460" s="3">
        <f>Raw_Data!B460</f>
        <v>45624</v>
      </c>
      <c r="C460" s="2" t="str">
        <f>TEXT(Raw_Data!B460,"MMM")</f>
        <v>Nov</v>
      </c>
      <c r="D460" s="2">
        <f>YEAR(Raw_Data!B460)</f>
        <v>2024</v>
      </c>
      <c r="E460" s="4" t="str">
        <f>Raw_Data!C460</f>
        <v>Vijay Rao</v>
      </c>
      <c r="F460" s="2" t="str">
        <f>Raw_Data!D460</f>
        <v>Jaipur</v>
      </c>
      <c r="G460" s="4" t="str">
        <f>Raw_Data!E460</f>
        <v>Antacid Syrup</v>
      </c>
      <c r="H460" s="2" t="str">
        <f>Raw_Data!F460</f>
        <v>Syrup</v>
      </c>
      <c r="I460" s="2">
        <f>Raw_Data!G460</f>
        <v>11</v>
      </c>
      <c r="J460" s="5">
        <f>Raw_Data!H460</f>
        <v>80</v>
      </c>
      <c r="K460" s="5">
        <f>Raw_Data!I460</f>
        <v>38.4</v>
      </c>
      <c r="L460" s="5">
        <f>Raw_Data!J460</f>
        <v>880</v>
      </c>
      <c r="M460" s="6">
        <f>Raw_Data!K460</f>
        <v>0</v>
      </c>
      <c r="N460" s="5">
        <f>Raw_Data!L460</f>
        <v>880</v>
      </c>
      <c r="O460" s="5">
        <f t="shared" si="14"/>
        <v>457.6</v>
      </c>
      <c r="P460" s="13">
        <f t="shared" si="15"/>
        <v>0.52</v>
      </c>
      <c r="Q460" s="2" t="str">
        <f>Raw_Data!M460</f>
        <v>Card</v>
      </c>
      <c r="R460" s="2" t="str">
        <f>Raw_Data!N460</f>
        <v>No</v>
      </c>
    </row>
    <row r="461" spans="1:18" x14ac:dyDescent="0.25">
      <c r="A461" s="7" t="str">
        <f>Raw_Data!A461</f>
        <v>ORD-0460</v>
      </c>
      <c r="B461" s="8">
        <f>Raw_Data!B461</f>
        <v>45633</v>
      </c>
      <c r="C461" s="7" t="str">
        <f>TEXT(Raw_Data!B461,"MMM")</f>
        <v>Dec</v>
      </c>
      <c r="D461" s="7">
        <f>YEAR(Raw_Data!B461)</f>
        <v>2024</v>
      </c>
      <c r="E461" s="9" t="str">
        <f>Raw_Data!C461</f>
        <v>Rahul Mehta</v>
      </c>
      <c r="F461" s="7" t="str">
        <f>Raw_Data!D461</f>
        <v>Jaipur</v>
      </c>
      <c r="G461" s="9" t="str">
        <f>Raw_Data!E461</f>
        <v>Candid Cream</v>
      </c>
      <c r="H461" s="7" t="str">
        <f>Raw_Data!F461</f>
        <v>Cream</v>
      </c>
      <c r="I461" s="7">
        <f>Raw_Data!G461</f>
        <v>10</v>
      </c>
      <c r="J461" s="10">
        <f>Raw_Data!H461</f>
        <v>65</v>
      </c>
      <c r="K461" s="10">
        <f>Raw_Data!I461</f>
        <v>30.55</v>
      </c>
      <c r="L461" s="10">
        <f>Raw_Data!J461</f>
        <v>650</v>
      </c>
      <c r="M461" s="11">
        <f>Raw_Data!K461</f>
        <v>10</v>
      </c>
      <c r="N461" s="10">
        <f>Raw_Data!L461</f>
        <v>585</v>
      </c>
      <c r="O461" s="10">
        <f t="shared" si="14"/>
        <v>344.5</v>
      </c>
      <c r="P461" s="14">
        <f t="shared" si="15"/>
        <v>0.53</v>
      </c>
      <c r="Q461" s="7" t="str">
        <f>Raw_Data!M461</f>
        <v>Card</v>
      </c>
      <c r="R461" s="7" t="str">
        <f>Raw_Data!N461</f>
        <v>No</v>
      </c>
    </row>
    <row r="462" spans="1:18" x14ac:dyDescent="0.25">
      <c r="A462" s="2" t="str">
        <f>Raw_Data!A462</f>
        <v>ORD-0461</v>
      </c>
      <c r="B462" s="3">
        <f>Raw_Data!B462</f>
        <v>45366</v>
      </c>
      <c r="C462" s="2" t="str">
        <f>TEXT(Raw_Data!B462,"MMM")</f>
        <v>Mar</v>
      </c>
      <c r="D462" s="2">
        <f>YEAR(Raw_Data!B462)</f>
        <v>2024</v>
      </c>
      <c r="E462" s="4" t="str">
        <f>Raw_Data!C462</f>
        <v>Vikram Mishra</v>
      </c>
      <c r="F462" s="2" t="str">
        <f>Raw_Data!D462</f>
        <v>Hyderabad</v>
      </c>
      <c r="G462" s="4" t="str">
        <f>Raw_Data!E462</f>
        <v>Paracetamol 500mg</v>
      </c>
      <c r="H462" s="2" t="str">
        <f>Raw_Data!F462</f>
        <v>Tablet</v>
      </c>
      <c r="I462" s="2">
        <f>Raw_Data!G462</f>
        <v>9</v>
      </c>
      <c r="J462" s="5">
        <f>Raw_Data!H462</f>
        <v>20</v>
      </c>
      <c r="K462" s="5">
        <f>Raw_Data!I462</f>
        <v>10.4</v>
      </c>
      <c r="L462" s="5">
        <f>Raw_Data!J462</f>
        <v>180</v>
      </c>
      <c r="M462" s="6">
        <f>Raw_Data!K462</f>
        <v>0</v>
      </c>
      <c r="N462" s="5">
        <f>Raw_Data!L462</f>
        <v>180</v>
      </c>
      <c r="O462" s="5">
        <f t="shared" si="14"/>
        <v>86.399999999999991</v>
      </c>
      <c r="P462" s="13">
        <f t="shared" si="15"/>
        <v>0.47999999999999993</v>
      </c>
      <c r="Q462" s="2" t="str">
        <f>Raw_Data!M462</f>
        <v>UPI</v>
      </c>
      <c r="R462" s="2" t="str">
        <f>Raw_Data!N462</f>
        <v>No</v>
      </c>
    </row>
    <row r="463" spans="1:18" x14ac:dyDescent="0.25">
      <c r="A463" s="7" t="str">
        <f>Raw_Data!A463</f>
        <v>ORD-0462</v>
      </c>
      <c r="B463" s="8">
        <f>Raw_Data!B463</f>
        <v>45323</v>
      </c>
      <c r="C463" s="7" t="str">
        <f>TEXT(Raw_Data!B463,"MMM")</f>
        <v>Feb</v>
      </c>
      <c r="D463" s="7">
        <f>YEAR(Raw_Data!B463)</f>
        <v>2024</v>
      </c>
      <c r="E463" s="9" t="str">
        <f>Raw_Data!C463</f>
        <v>Nisha Mishra</v>
      </c>
      <c r="F463" s="7" t="str">
        <f>Raw_Data!D463</f>
        <v>Hyderabad</v>
      </c>
      <c r="G463" s="9" t="str">
        <f>Raw_Data!E463</f>
        <v>Candid Cream</v>
      </c>
      <c r="H463" s="7" t="str">
        <f>Raw_Data!F463</f>
        <v>Cream</v>
      </c>
      <c r="I463" s="7">
        <f>Raw_Data!G463</f>
        <v>18</v>
      </c>
      <c r="J463" s="10">
        <f>Raw_Data!H463</f>
        <v>65</v>
      </c>
      <c r="K463" s="10">
        <f>Raw_Data!I463</f>
        <v>30.55</v>
      </c>
      <c r="L463" s="10">
        <f>Raw_Data!J463</f>
        <v>1170</v>
      </c>
      <c r="M463" s="11">
        <f>Raw_Data!K463</f>
        <v>0</v>
      </c>
      <c r="N463" s="10">
        <f>Raw_Data!L463</f>
        <v>1170</v>
      </c>
      <c r="O463" s="10">
        <f t="shared" si="14"/>
        <v>620.1</v>
      </c>
      <c r="P463" s="14">
        <f t="shared" si="15"/>
        <v>0.53</v>
      </c>
      <c r="Q463" s="7" t="str">
        <f>Raw_Data!M463</f>
        <v>Card</v>
      </c>
      <c r="R463" s="7" t="str">
        <f>Raw_Data!N463</f>
        <v>No</v>
      </c>
    </row>
    <row r="464" spans="1:18" x14ac:dyDescent="0.25">
      <c r="A464" s="2" t="str">
        <f>Raw_Data!A464</f>
        <v>ORD-0463</v>
      </c>
      <c r="B464" s="3">
        <f>Raw_Data!B464</f>
        <v>45637</v>
      </c>
      <c r="C464" s="2" t="str">
        <f>TEXT(Raw_Data!B464,"MMM")</f>
        <v>Dec</v>
      </c>
      <c r="D464" s="2">
        <f>YEAR(Raw_Data!B464)</f>
        <v>2024</v>
      </c>
      <c r="E464" s="4" t="str">
        <f>Raw_Data!C464</f>
        <v>Kavita Tiwari</v>
      </c>
      <c r="F464" s="2" t="str">
        <f>Raw_Data!D464</f>
        <v>Hyderabad</v>
      </c>
      <c r="G464" s="4" t="str">
        <f>Raw_Data!E464</f>
        <v>Soframycin Cream</v>
      </c>
      <c r="H464" s="2" t="str">
        <f>Raw_Data!F464</f>
        <v>Cream</v>
      </c>
      <c r="I464" s="2">
        <f>Raw_Data!G464</f>
        <v>18</v>
      </c>
      <c r="J464" s="5">
        <f>Raw_Data!H464</f>
        <v>72</v>
      </c>
      <c r="K464" s="5">
        <f>Raw_Data!I464</f>
        <v>33.840000000000003</v>
      </c>
      <c r="L464" s="5">
        <f>Raw_Data!J464</f>
        <v>1296</v>
      </c>
      <c r="M464" s="6">
        <f>Raw_Data!K464</f>
        <v>10</v>
      </c>
      <c r="N464" s="5">
        <f>Raw_Data!L464</f>
        <v>1166.4000000000001</v>
      </c>
      <c r="O464" s="5">
        <f t="shared" si="14"/>
        <v>686.87999999999988</v>
      </c>
      <c r="P464" s="13">
        <f t="shared" si="15"/>
        <v>0.52999999999999992</v>
      </c>
      <c r="Q464" s="2" t="str">
        <f>Raw_Data!M464</f>
        <v>UPI</v>
      </c>
      <c r="R464" s="2" t="str">
        <f>Raw_Data!N464</f>
        <v>Yes</v>
      </c>
    </row>
    <row r="465" spans="1:18" x14ac:dyDescent="0.25">
      <c r="A465" s="7" t="str">
        <f>Raw_Data!A465</f>
        <v>ORD-0464</v>
      </c>
      <c r="B465" s="8">
        <f>Raw_Data!B465</f>
        <v>45632</v>
      </c>
      <c r="C465" s="7" t="str">
        <f>TEXT(Raw_Data!B465,"MMM")</f>
        <v>Dec</v>
      </c>
      <c r="D465" s="7">
        <f>YEAR(Raw_Data!B465)</f>
        <v>2024</v>
      </c>
      <c r="E465" s="9" t="str">
        <f>Raw_Data!C465</f>
        <v>Suresh Singh</v>
      </c>
      <c r="F465" s="7" t="str">
        <f>Raw_Data!D465</f>
        <v>Kolkata</v>
      </c>
      <c r="G465" s="9" t="str">
        <f>Raw_Data!E465</f>
        <v>Aspirin 75mg</v>
      </c>
      <c r="H465" s="7" t="str">
        <f>Raw_Data!F465</f>
        <v>Tablet</v>
      </c>
      <c r="I465" s="7">
        <f>Raw_Data!G465</f>
        <v>14</v>
      </c>
      <c r="J465" s="10">
        <f>Raw_Data!H465</f>
        <v>18</v>
      </c>
      <c r="K465" s="10">
        <f>Raw_Data!I465</f>
        <v>9.36</v>
      </c>
      <c r="L465" s="10">
        <f>Raw_Data!J465</f>
        <v>252</v>
      </c>
      <c r="M465" s="11">
        <f>Raw_Data!K465</f>
        <v>10</v>
      </c>
      <c r="N465" s="10">
        <f>Raw_Data!L465</f>
        <v>226.8</v>
      </c>
      <c r="O465" s="10">
        <f t="shared" si="14"/>
        <v>120.96000000000001</v>
      </c>
      <c r="P465" s="14">
        <f t="shared" si="15"/>
        <v>0.48000000000000004</v>
      </c>
      <c r="Q465" s="7" t="str">
        <f>Raw_Data!M465</f>
        <v>Cash</v>
      </c>
      <c r="R465" s="7" t="str">
        <f>Raw_Data!N465</f>
        <v>No</v>
      </c>
    </row>
    <row r="466" spans="1:18" x14ac:dyDescent="0.25">
      <c r="A466" s="2" t="str">
        <f>Raw_Data!A466</f>
        <v>ORD-0465</v>
      </c>
      <c r="B466" s="3">
        <f>Raw_Data!B466</f>
        <v>45609</v>
      </c>
      <c r="C466" s="2" t="str">
        <f>TEXT(Raw_Data!B466,"MMM")</f>
        <v>Nov</v>
      </c>
      <c r="D466" s="2">
        <f>YEAR(Raw_Data!B466)</f>
        <v>2024</v>
      </c>
      <c r="E466" s="4" t="str">
        <f>Raw_Data!C466</f>
        <v>Rohit Kumar</v>
      </c>
      <c r="F466" s="2" t="str">
        <f>Raw_Data!D466</f>
        <v>Hyderabad</v>
      </c>
      <c r="G466" s="4" t="str">
        <f>Raw_Data!E466</f>
        <v>Protein Supplement</v>
      </c>
      <c r="H466" s="2" t="str">
        <f>Raw_Data!F466</f>
        <v>Powder</v>
      </c>
      <c r="I466" s="2">
        <f>Raw_Data!G466</f>
        <v>12</v>
      </c>
      <c r="J466" s="5">
        <f>Raw_Data!H466</f>
        <v>450</v>
      </c>
      <c r="K466" s="5">
        <f>Raw_Data!I466</f>
        <v>247.5</v>
      </c>
      <c r="L466" s="5">
        <f>Raw_Data!J466</f>
        <v>5400</v>
      </c>
      <c r="M466" s="6">
        <f>Raw_Data!K466</f>
        <v>20</v>
      </c>
      <c r="N466" s="5">
        <f>Raw_Data!L466</f>
        <v>4320</v>
      </c>
      <c r="O466" s="5">
        <f t="shared" si="14"/>
        <v>2430</v>
      </c>
      <c r="P466" s="13">
        <f t="shared" si="15"/>
        <v>0.45</v>
      </c>
      <c r="Q466" s="2" t="str">
        <f>Raw_Data!M466</f>
        <v>Cash</v>
      </c>
      <c r="R466" s="2" t="str">
        <f>Raw_Data!N466</f>
        <v>No</v>
      </c>
    </row>
    <row r="467" spans="1:18" x14ac:dyDescent="0.25">
      <c r="A467" s="7" t="str">
        <f>Raw_Data!A467</f>
        <v>ORD-0466</v>
      </c>
      <c r="B467" s="8">
        <f>Raw_Data!B467</f>
        <v>45521</v>
      </c>
      <c r="C467" s="7" t="str">
        <f>TEXT(Raw_Data!B467,"MMM")</f>
        <v>Aug</v>
      </c>
      <c r="D467" s="7">
        <f>YEAR(Raw_Data!B467)</f>
        <v>2024</v>
      </c>
      <c r="E467" s="9" t="str">
        <f>Raw_Data!C467</f>
        <v>Suresh Verma</v>
      </c>
      <c r="F467" s="7" t="str">
        <f>Raw_Data!D467</f>
        <v>Bangalore</v>
      </c>
      <c r="G467" s="9" t="str">
        <f>Raw_Data!E467</f>
        <v>Benadryl Cough Syrup</v>
      </c>
      <c r="H467" s="7" t="str">
        <f>Raw_Data!F467</f>
        <v>Syrup</v>
      </c>
      <c r="I467" s="7">
        <f>Raw_Data!G467</f>
        <v>6</v>
      </c>
      <c r="J467" s="10">
        <f>Raw_Data!H467</f>
        <v>110</v>
      </c>
      <c r="K467" s="10">
        <f>Raw_Data!I467</f>
        <v>52.8</v>
      </c>
      <c r="L467" s="10">
        <f>Raw_Data!J467</f>
        <v>660</v>
      </c>
      <c r="M467" s="11">
        <f>Raw_Data!K467</f>
        <v>20</v>
      </c>
      <c r="N467" s="10">
        <f>Raw_Data!L467</f>
        <v>528</v>
      </c>
      <c r="O467" s="10">
        <f t="shared" si="14"/>
        <v>343.20000000000005</v>
      </c>
      <c r="P467" s="14">
        <f t="shared" si="15"/>
        <v>0.52</v>
      </c>
      <c r="Q467" s="7" t="str">
        <f>Raw_Data!M467</f>
        <v>Cash</v>
      </c>
      <c r="R467" s="7" t="str">
        <f>Raw_Data!N467</f>
        <v>Yes</v>
      </c>
    </row>
    <row r="468" spans="1:18" x14ac:dyDescent="0.25">
      <c r="A468" s="2" t="str">
        <f>Raw_Data!A468</f>
        <v>ORD-0467</v>
      </c>
      <c r="B468" s="3">
        <f>Raw_Data!B468</f>
        <v>45427</v>
      </c>
      <c r="C468" s="2" t="str">
        <f>TEXT(Raw_Data!B468,"MMM")</f>
        <v>May</v>
      </c>
      <c r="D468" s="2">
        <f>YEAR(Raw_Data!B468)</f>
        <v>2024</v>
      </c>
      <c r="E468" s="4" t="str">
        <f>Raw_Data!C468</f>
        <v>Vikram Sharma</v>
      </c>
      <c r="F468" s="2" t="str">
        <f>Raw_Data!D468</f>
        <v>Surat</v>
      </c>
      <c r="G468" s="4" t="str">
        <f>Raw_Data!E468</f>
        <v>Ambroxol Syrup</v>
      </c>
      <c r="H468" s="2" t="str">
        <f>Raw_Data!F468</f>
        <v>Syrup</v>
      </c>
      <c r="I468" s="2">
        <f>Raw_Data!G468</f>
        <v>9</v>
      </c>
      <c r="J468" s="5">
        <f>Raw_Data!H468</f>
        <v>65</v>
      </c>
      <c r="K468" s="5">
        <f>Raw_Data!I468</f>
        <v>31.2</v>
      </c>
      <c r="L468" s="5">
        <f>Raw_Data!J468</f>
        <v>585</v>
      </c>
      <c r="M468" s="6">
        <f>Raw_Data!K468</f>
        <v>0</v>
      </c>
      <c r="N468" s="5">
        <f>Raw_Data!L468</f>
        <v>585</v>
      </c>
      <c r="O468" s="5">
        <f t="shared" si="14"/>
        <v>304.2</v>
      </c>
      <c r="P468" s="13">
        <f t="shared" si="15"/>
        <v>0.52</v>
      </c>
      <c r="Q468" s="2" t="str">
        <f>Raw_Data!M468</f>
        <v>UPI</v>
      </c>
      <c r="R468" s="2" t="str">
        <f>Raw_Data!N468</f>
        <v>No</v>
      </c>
    </row>
    <row r="469" spans="1:18" x14ac:dyDescent="0.25">
      <c r="A469" s="7" t="str">
        <f>Raw_Data!A469</f>
        <v>ORD-0468</v>
      </c>
      <c r="B469" s="8">
        <f>Raw_Data!B469</f>
        <v>45370</v>
      </c>
      <c r="C469" s="7" t="str">
        <f>TEXT(Raw_Data!B469,"MMM")</f>
        <v>Mar</v>
      </c>
      <c r="D469" s="7">
        <f>YEAR(Raw_Data!B469)</f>
        <v>2024</v>
      </c>
      <c r="E469" s="9" t="str">
        <f>Raw_Data!C469</f>
        <v>Amit Dubey</v>
      </c>
      <c r="F469" s="7" t="str">
        <f>Raw_Data!D469</f>
        <v>Surat</v>
      </c>
      <c r="G469" s="9" t="str">
        <f>Raw_Data!E469</f>
        <v>Insulin Glargine</v>
      </c>
      <c r="H469" s="7" t="str">
        <f>Raw_Data!F469</f>
        <v>Injection</v>
      </c>
      <c r="I469" s="7">
        <f>Raw_Data!G469</f>
        <v>10</v>
      </c>
      <c r="J469" s="10">
        <f>Raw_Data!H469</f>
        <v>850</v>
      </c>
      <c r="K469" s="10">
        <f>Raw_Data!I469</f>
        <v>510</v>
      </c>
      <c r="L469" s="10">
        <f>Raw_Data!J469</f>
        <v>8500</v>
      </c>
      <c r="M469" s="11">
        <f>Raw_Data!K469</f>
        <v>15</v>
      </c>
      <c r="N469" s="10">
        <f>Raw_Data!L469</f>
        <v>7225</v>
      </c>
      <c r="O469" s="10">
        <f t="shared" si="14"/>
        <v>3400</v>
      </c>
      <c r="P469" s="14">
        <f t="shared" si="15"/>
        <v>0.4</v>
      </c>
      <c r="Q469" s="7" t="str">
        <f>Raw_Data!M469</f>
        <v>Card</v>
      </c>
      <c r="R469" s="7" t="str">
        <f>Raw_Data!N469</f>
        <v>Yes</v>
      </c>
    </row>
    <row r="470" spans="1:18" x14ac:dyDescent="0.25">
      <c r="A470" s="2" t="str">
        <f>Raw_Data!A470</f>
        <v>ORD-0469</v>
      </c>
      <c r="B470" s="3">
        <f>Raw_Data!B470</f>
        <v>45654</v>
      </c>
      <c r="C470" s="2" t="str">
        <f>TEXT(Raw_Data!B470,"MMM")</f>
        <v>Dec</v>
      </c>
      <c r="D470" s="2">
        <f>YEAR(Raw_Data!B470)</f>
        <v>2024</v>
      </c>
      <c r="E470" s="4" t="str">
        <f>Raw_Data!C470</f>
        <v>Swati Verma</v>
      </c>
      <c r="F470" s="2" t="str">
        <f>Raw_Data!D470</f>
        <v>Bangalore</v>
      </c>
      <c r="G470" s="4" t="str">
        <f>Raw_Data!E470</f>
        <v>Ondansetron Inj</v>
      </c>
      <c r="H470" s="2" t="str">
        <f>Raw_Data!F470</f>
        <v>Injection</v>
      </c>
      <c r="I470" s="2">
        <f>Raw_Data!G470</f>
        <v>17</v>
      </c>
      <c r="J470" s="5">
        <f>Raw_Data!H470</f>
        <v>120</v>
      </c>
      <c r="K470" s="5">
        <f>Raw_Data!I470</f>
        <v>72</v>
      </c>
      <c r="L470" s="5">
        <f>Raw_Data!J470</f>
        <v>2040</v>
      </c>
      <c r="M470" s="6">
        <f>Raw_Data!K470</f>
        <v>0</v>
      </c>
      <c r="N470" s="5">
        <f>Raw_Data!L470</f>
        <v>2040</v>
      </c>
      <c r="O470" s="5">
        <f t="shared" si="14"/>
        <v>816</v>
      </c>
      <c r="P470" s="13">
        <f t="shared" si="15"/>
        <v>0.4</v>
      </c>
      <c r="Q470" s="2" t="str">
        <f>Raw_Data!M470</f>
        <v>Cash</v>
      </c>
      <c r="R470" s="2" t="str">
        <f>Raw_Data!N470</f>
        <v>Yes</v>
      </c>
    </row>
    <row r="471" spans="1:18" x14ac:dyDescent="0.25">
      <c r="A471" s="7" t="str">
        <f>Raw_Data!A471</f>
        <v>ORD-0470</v>
      </c>
      <c r="B471" s="8">
        <f>Raw_Data!B471</f>
        <v>45498</v>
      </c>
      <c r="C471" s="7" t="str">
        <f>TEXT(Raw_Data!B471,"MMM")</f>
        <v>Jul</v>
      </c>
      <c r="D471" s="7">
        <f>YEAR(Raw_Data!B471)</f>
        <v>2024</v>
      </c>
      <c r="E471" s="9" t="str">
        <f>Raw_Data!C471</f>
        <v>Nisha Verma</v>
      </c>
      <c r="F471" s="7" t="str">
        <f>Raw_Data!D471</f>
        <v>Hyderabad</v>
      </c>
      <c r="G471" s="9" t="str">
        <f>Raw_Data!E471</f>
        <v>Ibuprofen 400mg</v>
      </c>
      <c r="H471" s="7" t="str">
        <f>Raw_Data!F471</f>
        <v>Tablet</v>
      </c>
      <c r="I471" s="7">
        <f>Raw_Data!G471</f>
        <v>7</v>
      </c>
      <c r="J471" s="10">
        <f>Raw_Data!H471</f>
        <v>30</v>
      </c>
      <c r="K471" s="10">
        <f>Raw_Data!I471</f>
        <v>15.6</v>
      </c>
      <c r="L471" s="10">
        <f>Raw_Data!J471</f>
        <v>210</v>
      </c>
      <c r="M471" s="11">
        <f>Raw_Data!K471</f>
        <v>10</v>
      </c>
      <c r="N471" s="10">
        <f>Raw_Data!L471</f>
        <v>189</v>
      </c>
      <c r="O471" s="10">
        <f t="shared" si="14"/>
        <v>100.8</v>
      </c>
      <c r="P471" s="14">
        <f t="shared" si="15"/>
        <v>0.48</v>
      </c>
      <c r="Q471" s="7" t="str">
        <f>Raw_Data!M471</f>
        <v>Cash</v>
      </c>
      <c r="R471" s="7" t="str">
        <f>Raw_Data!N471</f>
        <v>Yes</v>
      </c>
    </row>
    <row r="472" spans="1:18" x14ac:dyDescent="0.25">
      <c r="A472" s="2" t="str">
        <f>Raw_Data!A472</f>
        <v>ORD-0471</v>
      </c>
      <c r="B472" s="3">
        <f>Raw_Data!B472</f>
        <v>45535</v>
      </c>
      <c r="C472" s="2" t="str">
        <f>TEXT(Raw_Data!B472,"MMM")</f>
        <v>Aug</v>
      </c>
      <c r="D472" s="2">
        <f>YEAR(Raw_Data!B472)</f>
        <v>2024</v>
      </c>
      <c r="E472" s="4" t="str">
        <f>Raw_Data!C472</f>
        <v>Nisha Nair</v>
      </c>
      <c r="F472" s="2" t="str">
        <f>Raw_Data!D472</f>
        <v>Mumbai</v>
      </c>
      <c r="G472" s="4" t="str">
        <f>Raw_Data!E472</f>
        <v>Refresh Tears</v>
      </c>
      <c r="H472" s="2" t="str">
        <f>Raw_Data!F472</f>
        <v>Drops</v>
      </c>
      <c r="I472" s="2">
        <f>Raw_Data!G472</f>
        <v>4</v>
      </c>
      <c r="J472" s="5">
        <f>Raw_Data!H472</f>
        <v>110</v>
      </c>
      <c r="K472" s="5">
        <f>Raw_Data!I472</f>
        <v>49.5</v>
      </c>
      <c r="L472" s="5">
        <f>Raw_Data!J472</f>
        <v>440</v>
      </c>
      <c r="M472" s="6">
        <f>Raw_Data!K472</f>
        <v>10</v>
      </c>
      <c r="N472" s="5">
        <f>Raw_Data!L472</f>
        <v>396</v>
      </c>
      <c r="O472" s="5">
        <f t="shared" si="14"/>
        <v>242</v>
      </c>
      <c r="P472" s="13">
        <f t="shared" si="15"/>
        <v>0.55000000000000004</v>
      </c>
      <c r="Q472" s="2" t="str">
        <f>Raw_Data!M472</f>
        <v>UPI</v>
      </c>
      <c r="R472" s="2" t="str">
        <f>Raw_Data!N472</f>
        <v>No</v>
      </c>
    </row>
    <row r="473" spans="1:18" x14ac:dyDescent="0.25">
      <c r="A473" s="7" t="str">
        <f>Raw_Data!A473</f>
        <v>ORD-0472</v>
      </c>
      <c r="B473" s="8">
        <f>Raw_Data!B473</f>
        <v>45610</v>
      </c>
      <c r="C473" s="7" t="str">
        <f>TEXT(Raw_Data!B473,"MMM")</f>
        <v>Nov</v>
      </c>
      <c r="D473" s="7">
        <f>YEAR(Raw_Data!B473)</f>
        <v>2024</v>
      </c>
      <c r="E473" s="9" t="str">
        <f>Raw_Data!C473</f>
        <v>Kavita Sharma</v>
      </c>
      <c r="F473" s="7" t="str">
        <f>Raw_Data!D473</f>
        <v>Pune</v>
      </c>
      <c r="G473" s="9" t="str">
        <f>Raw_Data!E473</f>
        <v>Benadryl Cough Syrup</v>
      </c>
      <c r="H473" s="7" t="str">
        <f>Raw_Data!F473</f>
        <v>Syrup</v>
      </c>
      <c r="I473" s="7">
        <f>Raw_Data!G473</f>
        <v>13</v>
      </c>
      <c r="J473" s="10">
        <f>Raw_Data!H473</f>
        <v>110</v>
      </c>
      <c r="K473" s="10">
        <f>Raw_Data!I473</f>
        <v>52.8</v>
      </c>
      <c r="L473" s="10">
        <f>Raw_Data!J473</f>
        <v>1430</v>
      </c>
      <c r="M473" s="11">
        <f>Raw_Data!K473</f>
        <v>0</v>
      </c>
      <c r="N473" s="10">
        <f>Raw_Data!L473</f>
        <v>1430</v>
      </c>
      <c r="O473" s="10">
        <f t="shared" si="14"/>
        <v>743.6</v>
      </c>
      <c r="P473" s="14">
        <f t="shared" si="15"/>
        <v>0.52</v>
      </c>
      <c r="Q473" s="7" t="str">
        <f>Raw_Data!M473</f>
        <v>Card</v>
      </c>
      <c r="R473" s="7" t="str">
        <f>Raw_Data!N473</f>
        <v>No</v>
      </c>
    </row>
    <row r="474" spans="1:18" x14ac:dyDescent="0.25">
      <c r="A474" s="2" t="str">
        <f>Raw_Data!A474</f>
        <v>ORD-0473</v>
      </c>
      <c r="B474" s="3">
        <f>Raw_Data!B474</f>
        <v>45556</v>
      </c>
      <c r="C474" s="2" t="str">
        <f>TEXT(Raw_Data!B474,"MMM")</f>
        <v>Sep</v>
      </c>
      <c r="D474" s="2">
        <f>YEAR(Raw_Data!B474)</f>
        <v>2024</v>
      </c>
      <c r="E474" s="4" t="str">
        <f>Raw_Data!C474</f>
        <v>Rohit Joshi</v>
      </c>
      <c r="F474" s="2" t="str">
        <f>Raw_Data!D474</f>
        <v>Jaipur</v>
      </c>
      <c r="G474" s="4" t="str">
        <f>Raw_Data!E474</f>
        <v>Protein Supplement</v>
      </c>
      <c r="H474" s="2" t="str">
        <f>Raw_Data!F474</f>
        <v>Powder</v>
      </c>
      <c r="I474" s="2">
        <f>Raw_Data!G474</f>
        <v>17</v>
      </c>
      <c r="J474" s="5">
        <f>Raw_Data!H474</f>
        <v>450</v>
      </c>
      <c r="K474" s="5">
        <f>Raw_Data!I474</f>
        <v>247.5</v>
      </c>
      <c r="L474" s="5">
        <f>Raw_Data!J474</f>
        <v>7650</v>
      </c>
      <c r="M474" s="6">
        <f>Raw_Data!K474</f>
        <v>15</v>
      </c>
      <c r="N474" s="5">
        <f>Raw_Data!L474</f>
        <v>6502.5</v>
      </c>
      <c r="O474" s="5">
        <f t="shared" si="14"/>
        <v>3442.5</v>
      </c>
      <c r="P474" s="13">
        <f t="shared" si="15"/>
        <v>0.45</v>
      </c>
      <c r="Q474" s="2" t="str">
        <f>Raw_Data!M474</f>
        <v>Cash</v>
      </c>
      <c r="R474" s="2" t="str">
        <f>Raw_Data!N474</f>
        <v>No</v>
      </c>
    </row>
    <row r="475" spans="1:18" x14ac:dyDescent="0.25">
      <c r="A475" s="7" t="str">
        <f>Raw_Data!A475</f>
        <v>ORD-0474</v>
      </c>
      <c r="B475" s="8">
        <f>Raw_Data!B475</f>
        <v>45555</v>
      </c>
      <c r="C475" s="7" t="str">
        <f>TEXT(Raw_Data!B475,"MMM")</f>
        <v>Sep</v>
      </c>
      <c r="D475" s="7">
        <f>YEAR(Raw_Data!B475)</f>
        <v>2024</v>
      </c>
      <c r="E475" s="9" t="str">
        <f>Raw_Data!C475</f>
        <v>Rohit Mishra</v>
      </c>
      <c r="F475" s="7" t="str">
        <f>Raw_Data!D475</f>
        <v>Bangalore</v>
      </c>
      <c r="G475" s="9" t="str">
        <f>Raw_Data!E475</f>
        <v>Amoxicillin 250mg</v>
      </c>
      <c r="H475" s="7" t="str">
        <f>Raw_Data!F475</f>
        <v>Tablet</v>
      </c>
      <c r="I475" s="7">
        <f>Raw_Data!G475</f>
        <v>18</v>
      </c>
      <c r="J475" s="10">
        <f>Raw_Data!H475</f>
        <v>85</v>
      </c>
      <c r="K475" s="10">
        <f>Raw_Data!I475</f>
        <v>44.2</v>
      </c>
      <c r="L475" s="10">
        <f>Raw_Data!J475</f>
        <v>1530</v>
      </c>
      <c r="M475" s="11">
        <f>Raw_Data!K475</f>
        <v>20</v>
      </c>
      <c r="N475" s="10">
        <f>Raw_Data!L475</f>
        <v>1224</v>
      </c>
      <c r="O475" s="10">
        <f t="shared" si="14"/>
        <v>734.4</v>
      </c>
      <c r="P475" s="14">
        <f t="shared" si="15"/>
        <v>0.48</v>
      </c>
      <c r="Q475" s="7" t="str">
        <f>Raw_Data!M475</f>
        <v>Cash</v>
      </c>
      <c r="R475" s="7" t="str">
        <f>Raw_Data!N475</f>
        <v>Yes</v>
      </c>
    </row>
    <row r="476" spans="1:18" x14ac:dyDescent="0.25">
      <c r="A476" s="2" t="str">
        <f>Raw_Data!A476</f>
        <v>ORD-0475</v>
      </c>
      <c r="B476" s="3">
        <f>Raw_Data!B476</f>
        <v>45642</v>
      </c>
      <c r="C476" s="2" t="str">
        <f>TEXT(Raw_Data!B476,"MMM")</f>
        <v>Dec</v>
      </c>
      <c r="D476" s="2">
        <f>YEAR(Raw_Data!B476)</f>
        <v>2024</v>
      </c>
      <c r="E476" s="4" t="str">
        <f>Raw_Data!C476</f>
        <v>Vikram Sharma</v>
      </c>
      <c r="F476" s="2" t="str">
        <f>Raw_Data!D476</f>
        <v>Hyderabad</v>
      </c>
      <c r="G476" s="4" t="str">
        <f>Raw_Data!E476</f>
        <v>Omeprazole 20mg</v>
      </c>
      <c r="H476" s="2" t="str">
        <f>Raw_Data!F476</f>
        <v>Capsule</v>
      </c>
      <c r="I476" s="2">
        <f>Raw_Data!G476</f>
        <v>18</v>
      </c>
      <c r="J476" s="5">
        <f>Raw_Data!H476</f>
        <v>40</v>
      </c>
      <c r="K476" s="5">
        <f>Raw_Data!I476</f>
        <v>20</v>
      </c>
      <c r="L476" s="5">
        <f>Raw_Data!J476</f>
        <v>720</v>
      </c>
      <c r="M476" s="6">
        <f>Raw_Data!K476</f>
        <v>10</v>
      </c>
      <c r="N476" s="5">
        <f>Raw_Data!L476</f>
        <v>648</v>
      </c>
      <c r="O476" s="5">
        <f t="shared" si="14"/>
        <v>360</v>
      </c>
      <c r="P476" s="13">
        <f t="shared" si="15"/>
        <v>0.5</v>
      </c>
      <c r="Q476" s="2" t="str">
        <f>Raw_Data!M476</f>
        <v>UPI</v>
      </c>
      <c r="R476" s="2" t="str">
        <f>Raw_Data!N476</f>
        <v>No</v>
      </c>
    </row>
    <row r="477" spans="1:18" x14ac:dyDescent="0.25">
      <c r="A477" s="7" t="str">
        <f>Raw_Data!A477</f>
        <v>ORD-0476</v>
      </c>
      <c r="B477" s="8">
        <f>Raw_Data!B477</f>
        <v>45527</v>
      </c>
      <c r="C477" s="7" t="str">
        <f>TEXT(Raw_Data!B477,"MMM")</f>
        <v>Aug</v>
      </c>
      <c r="D477" s="7">
        <f>YEAR(Raw_Data!B477)</f>
        <v>2024</v>
      </c>
      <c r="E477" s="9" t="str">
        <f>Raw_Data!C477</f>
        <v>Swati Patel</v>
      </c>
      <c r="F477" s="7" t="str">
        <f>Raw_Data!D477</f>
        <v>Mumbai</v>
      </c>
      <c r="G477" s="9" t="str">
        <f>Raw_Data!E477</f>
        <v>Candid Cream</v>
      </c>
      <c r="H477" s="7" t="str">
        <f>Raw_Data!F477</f>
        <v>Cream</v>
      </c>
      <c r="I477" s="7">
        <f>Raw_Data!G477</f>
        <v>3</v>
      </c>
      <c r="J477" s="10">
        <f>Raw_Data!H477</f>
        <v>65</v>
      </c>
      <c r="K477" s="10">
        <f>Raw_Data!I477</f>
        <v>30.55</v>
      </c>
      <c r="L477" s="10">
        <f>Raw_Data!J477</f>
        <v>195</v>
      </c>
      <c r="M477" s="11">
        <f>Raw_Data!K477</f>
        <v>0</v>
      </c>
      <c r="N477" s="10">
        <f>Raw_Data!L477</f>
        <v>195</v>
      </c>
      <c r="O477" s="10">
        <f t="shared" si="14"/>
        <v>103.35</v>
      </c>
      <c r="P477" s="14">
        <f t="shared" si="15"/>
        <v>0.52999999999999992</v>
      </c>
      <c r="Q477" s="7" t="str">
        <f>Raw_Data!M477</f>
        <v>UPI</v>
      </c>
      <c r="R477" s="7" t="str">
        <f>Raw_Data!N477</f>
        <v>Yes</v>
      </c>
    </row>
    <row r="478" spans="1:18" x14ac:dyDescent="0.25">
      <c r="A478" s="2" t="str">
        <f>Raw_Data!A478</f>
        <v>ORD-0477</v>
      </c>
      <c r="B478" s="3">
        <f>Raw_Data!B478</f>
        <v>45586</v>
      </c>
      <c r="C478" s="2" t="str">
        <f>TEXT(Raw_Data!B478,"MMM")</f>
        <v>Oct</v>
      </c>
      <c r="D478" s="2">
        <f>YEAR(Raw_Data!B478)</f>
        <v>2024</v>
      </c>
      <c r="E478" s="4" t="str">
        <f>Raw_Data!C478</f>
        <v>Arjun Sharma</v>
      </c>
      <c r="F478" s="2" t="str">
        <f>Raw_Data!D478</f>
        <v>Chennai</v>
      </c>
      <c r="G478" s="4" t="str">
        <f>Raw_Data!E478</f>
        <v>ORS Electrolyte</v>
      </c>
      <c r="H478" s="2" t="str">
        <f>Raw_Data!F478</f>
        <v>Powder</v>
      </c>
      <c r="I478" s="2">
        <f>Raw_Data!G478</f>
        <v>14</v>
      </c>
      <c r="J478" s="5">
        <f>Raw_Data!H478</f>
        <v>30</v>
      </c>
      <c r="K478" s="5">
        <f>Raw_Data!I478</f>
        <v>16.5</v>
      </c>
      <c r="L478" s="5">
        <f>Raw_Data!J478</f>
        <v>420</v>
      </c>
      <c r="M478" s="6">
        <f>Raw_Data!K478</f>
        <v>10</v>
      </c>
      <c r="N478" s="5">
        <f>Raw_Data!L478</f>
        <v>378</v>
      </c>
      <c r="O478" s="5">
        <f t="shared" si="14"/>
        <v>189</v>
      </c>
      <c r="P478" s="13">
        <f t="shared" si="15"/>
        <v>0.45</v>
      </c>
      <c r="Q478" s="2" t="str">
        <f>Raw_Data!M478</f>
        <v>Card</v>
      </c>
      <c r="R478" s="2" t="str">
        <f>Raw_Data!N478</f>
        <v>No</v>
      </c>
    </row>
    <row r="479" spans="1:18" x14ac:dyDescent="0.25">
      <c r="A479" s="7" t="str">
        <f>Raw_Data!A479</f>
        <v>ORD-0478</v>
      </c>
      <c r="B479" s="8">
        <f>Raw_Data!B479</f>
        <v>45491</v>
      </c>
      <c r="C479" s="7" t="str">
        <f>TEXT(Raw_Data!B479,"MMM")</f>
        <v>Jul</v>
      </c>
      <c r="D479" s="7">
        <f>YEAR(Raw_Data!B479)</f>
        <v>2024</v>
      </c>
      <c r="E479" s="9" t="str">
        <f>Raw_Data!C479</f>
        <v>Amit Joshi</v>
      </c>
      <c r="F479" s="7" t="str">
        <f>Raw_Data!D479</f>
        <v>Jaipur</v>
      </c>
      <c r="G479" s="9" t="str">
        <f>Raw_Data!E479</f>
        <v>Betadine Cream</v>
      </c>
      <c r="H479" s="7" t="str">
        <f>Raw_Data!F479</f>
        <v>Cream</v>
      </c>
      <c r="I479" s="7">
        <f>Raw_Data!G479</f>
        <v>1</v>
      </c>
      <c r="J479" s="10">
        <f>Raw_Data!H479</f>
        <v>85</v>
      </c>
      <c r="K479" s="10">
        <f>Raw_Data!I479</f>
        <v>39.950000000000003</v>
      </c>
      <c r="L479" s="10">
        <f>Raw_Data!J479</f>
        <v>85</v>
      </c>
      <c r="M479" s="11">
        <f>Raw_Data!K479</f>
        <v>0</v>
      </c>
      <c r="N479" s="10">
        <f>Raw_Data!L479</f>
        <v>85</v>
      </c>
      <c r="O479" s="10">
        <f t="shared" si="14"/>
        <v>45.05</v>
      </c>
      <c r="P479" s="14">
        <f t="shared" si="15"/>
        <v>0.52999999999999992</v>
      </c>
      <c r="Q479" s="7" t="str">
        <f>Raw_Data!M479</f>
        <v>Card</v>
      </c>
      <c r="R479" s="7" t="str">
        <f>Raw_Data!N479</f>
        <v>No</v>
      </c>
    </row>
    <row r="480" spans="1:18" x14ac:dyDescent="0.25">
      <c r="A480" s="2" t="str">
        <f>Raw_Data!A480</f>
        <v>ORD-0479</v>
      </c>
      <c r="B480" s="3">
        <f>Raw_Data!B480</f>
        <v>45549</v>
      </c>
      <c r="C480" s="2" t="str">
        <f>TEXT(Raw_Data!B480,"MMM")</f>
        <v>Sep</v>
      </c>
      <c r="D480" s="2">
        <f>YEAR(Raw_Data!B480)</f>
        <v>2024</v>
      </c>
      <c r="E480" s="4" t="str">
        <f>Raw_Data!C480</f>
        <v>Nikhil Mehta</v>
      </c>
      <c r="F480" s="2" t="str">
        <f>Raw_Data!D480</f>
        <v>Chennai</v>
      </c>
      <c r="G480" s="4" t="str">
        <f>Raw_Data!E480</f>
        <v>Cetirizine 10mg</v>
      </c>
      <c r="H480" s="2" t="str">
        <f>Raw_Data!F480</f>
        <v>Tablet</v>
      </c>
      <c r="I480" s="2">
        <f>Raw_Data!G480</f>
        <v>20</v>
      </c>
      <c r="J480" s="5">
        <f>Raw_Data!H480</f>
        <v>35</v>
      </c>
      <c r="K480" s="5">
        <f>Raw_Data!I480</f>
        <v>18.2</v>
      </c>
      <c r="L480" s="5">
        <f>Raw_Data!J480</f>
        <v>700</v>
      </c>
      <c r="M480" s="6">
        <f>Raw_Data!K480</f>
        <v>0</v>
      </c>
      <c r="N480" s="5">
        <f>Raw_Data!L480</f>
        <v>700</v>
      </c>
      <c r="O480" s="5">
        <f t="shared" si="14"/>
        <v>336</v>
      </c>
      <c r="P480" s="13">
        <f t="shared" si="15"/>
        <v>0.48</v>
      </c>
      <c r="Q480" s="2" t="str">
        <f>Raw_Data!M480</f>
        <v>UPI</v>
      </c>
      <c r="R480" s="2" t="str">
        <f>Raw_Data!N480</f>
        <v>Yes</v>
      </c>
    </row>
    <row r="481" spans="1:18" x14ac:dyDescent="0.25">
      <c r="A481" s="7" t="str">
        <f>Raw_Data!A481</f>
        <v>ORD-0480</v>
      </c>
      <c r="B481" s="8">
        <f>Raw_Data!B481</f>
        <v>45630</v>
      </c>
      <c r="C481" s="7" t="str">
        <f>TEXT(Raw_Data!B481,"MMM")</f>
        <v>Dec</v>
      </c>
      <c r="D481" s="7">
        <f>YEAR(Raw_Data!B481)</f>
        <v>2024</v>
      </c>
      <c r="E481" s="9" t="str">
        <f>Raw_Data!C481</f>
        <v>Swati Kumar</v>
      </c>
      <c r="F481" s="7" t="str">
        <f>Raw_Data!D481</f>
        <v>Bangalore</v>
      </c>
      <c r="G481" s="9" t="str">
        <f>Raw_Data!E481</f>
        <v>Pantoprazole 40mg</v>
      </c>
      <c r="H481" s="7" t="str">
        <f>Raw_Data!F481</f>
        <v>Tablet</v>
      </c>
      <c r="I481" s="7">
        <f>Raw_Data!G481</f>
        <v>18</v>
      </c>
      <c r="J481" s="10">
        <f>Raw_Data!H481</f>
        <v>75</v>
      </c>
      <c r="K481" s="10">
        <f>Raw_Data!I481</f>
        <v>39</v>
      </c>
      <c r="L481" s="10">
        <f>Raw_Data!J481</f>
        <v>1350</v>
      </c>
      <c r="M481" s="11">
        <f>Raw_Data!K481</f>
        <v>5</v>
      </c>
      <c r="N481" s="10">
        <f>Raw_Data!L481</f>
        <v>1282.5</v>
      </c>
      <c r="O481" s="10">
        <f t="shared" si="14"/>
        <v>648</v>
      </c>
      <c r="P481" s="14">
        <f t="shared" si="15"/>
        <v>0.48</v>
      </c>
      <c r="Q481" s="7" t="str">
        <f>Raw_Data!M481</f>
        <v>Card</v>
      </c>
      <c r="R481" s="7" t="str">
        <f>Raw_Data!N481</f>
        <v>Yes</v>
      </c>
    </row>
    <row r="482" spans="1:18" x14ac:dyDescent="0.25">
      <c r="A482" s="2" t="str">
        <f>Raw_Data!A482</f>
        <v>ORD-0481</v>
      </c>
      <c r="B482" s="3">
        <f>Raw_Data!B482</f>
        <v>45616</v>
      </c>
      <c r="C482" s="2" t="str">
        <f>TEXT(Raw_Data!B482,"MMM")</f>
        <v>Nov</v>
      </c>
      <c r="D482" s="2">
        <f>YEAR(Raw_Data!B482)</f>
        <v>2024</v>
      </c>
      <c r="E482" s="4" t="str">
        <f>Raw_Data!C482</f>
        <v>Priya Sharma</v>
      </c>
      <c r="F482" s="2" t="str">
        <f>Raw_Data!D482</f>
        <v>Pune</v>
      </c>
      <c r="G482" s="4" t="str">
        <f>Raw_Data!E482</f>
        <v>Paracetamol Syrup</v>
      </c>
      <c r="H482" s="2" t="str">
        <f>Raw_Data!F482</f>
        <v>Syrup</v>
      </c>
      <c r="I482" s="2">
        <f>Raw_Data!G482</f>
        <v>1</v>
      </c>
      <c r="J482" s="5">
        <f>Raw_Data!H482</f>
        <v>45</v>
      </c>
      <c r="K482" s="5">
        <f>Raw_Data!I482</f>
        <v>21.6</v>
      </c>
      <c r="L482" s="5">
        <f>Raw_Data!J482</f>
        <v>45</v>
      </c>
      <c r="M482" s="6">
        <f>Raw_Data!K482</f>
        <v>20</v>
      </c>
      <c r="N482" s="5">
        <f>Raw_Data!L482</f>
        <v>36</v>
      </c>
      <c r="O482" s="5">
        <f t="shared" si="14"/>
        <v>23.4</v>
      </c>
      <c r="P482" s="13">
        <f t="shared" si="15"/>
        <v>0.52</v>
      </c>
      <c r="Q482" s="2" t="str">
        <f>Raw_Data!M482</f>
        <v>Cash</v>
      </c>
      <c r="R482" s="2" t="str">
        <f>Raw_Data!N482</f>
        <v>No</v>
      </c>
    </row>
    <row r="483" spans="1:18" x14ac:dyDescent="0.25">
      <c r="A483" s="7" t="str">
        <f>Raw_Data!A483</f>
        <v>ORD-0482</v>
      </c>
      <c r="B483" s="8">
        <f>Raw_Data!B483</f>
        <v>45585</v>
      </c>
      <c r="C483" s="7" t="str">
        <f>TEXT(Raw_Data!B483,"MMM")</f>
        <v>Oct</v>
      </c>
      <c r="D483" s="7">
        <f>YEAR(Raw_Data!B483)</f>
        <v>2024</v>
      </c>
      <c r="E483" s="9" t="str">
        <f>Raw_Data!C483</f>
        <v>Meera Singh</v>
      </c>
      <c r="F483" s="7" t="str">
        <f>Raw_Data!D483</f>
        <v>Jaipur</v>
      </c>
      <c r="G483" s="9" t="str">
        <f>Raw_Data!E483</f>
        <v>Cipla Eye Drops</v>
      </c>
      <c r="H483" s="7" t="str">
        <f>Raw_Data!F483</f>
        <v>Drops</v>
      </c>
      <c r="I483" s="7">
        <f>Raw_Data!G483</f>
        <v>18</v>
      </c>
      <c r="J483" s="10">
        <f>Raw_Data!H483</f>
        <v>70</v>
      </c>
      <c r="K483" s="10">
        <f>Raw_Data!I483</f>
        <v>31.5</v>
      </c>
      <c r="L483" s="10">
        <f>Raw_Data!J483</f>
        <v>1260</v>
      </c>
      <c r="M483" s="11">
        <f>Raw_Data!K483</f>
        <v>0</v>
      </c>
      <c r="N483" s="10">
        <f>Raw_Data!L483</f>
        <v>1260</v>
      </c>
      <c r="O483" s="10">
        <f t="shared" si="14"/>
        <v>693</v>
      </c>
      <c r="P483" s="14">
        <f t="shared" si="15"/>
        <v>0.55000000000000004</v>
      </c>
      <c r="Q483" s="7" t="str">
        <f>Raw_Data!M483</f>
        <v>UPI</v>
      </c>
      <c r="R483" s="7" t="str">
        <f>Raw_Data!N483</f>
        <v>Yes</v>
      </c>
    </row>
    <row r="484" spans="1:18" x14ac:dyDescent="0.25">
      <c r="A484" s="2" t="str">
        <f>Raw_Data!A484</f>
        <v>ORD-0483</v>
      </c>
      <c r="B484" s="3">
        <f>Raw_Data!B484</f>
        <v>45503</v>
      </c>
      <c r="C484" s="2" t="str">
        <f>TEXT(Raw_Data!B484,"MMM")</f>
        <v>Jul</v>
      </c>
      <c r="D484" s="2">
        <f>YEAR(Raw_Data!B484)</f>
        <v>2024</v>
      </c>
      <c r="E484" s="4" t="str">
        <f>Raw_Data!C484</f>
        <v>Rohit Patel</v>
      </c>
      <c r="F484" s="2" t="str">
        <f>Raw_Data!D484</f>
        <v>Bangalore</v>
      </c>
      <c r="G484" s="4" t="str">
        <f>Raw_Data!E484</f>
        <v>Soframycin Cream</v>
      </c>
      <c r="H484" s="2" t="str">
        <f>Raw_Data!F484</f>
        <v>Cream</v>
      </c>
      <c r="I484" s="2">
        <f>Raw_Data!G484</f>
        <v>6</v>
      </c>
      <c r="J484" s="5">
        <f>Raw_Data!H484</f>
        <v>72</v>
      </c>
      <c r="K484" s="5">
        <f>Raw_Data!I484</f>
        <v>33.840000000000003</v>
      </c>
      <c r="L484" s="5">
        <f>Raw_Data!J484</f>
        <v>432</v>
      </c>
      <c r="M484" s="6">
        <f>Raw_Data!K484</f>
        <v>0</v>
      </c>
      <c r="N484" s="5">
        <f>Raw_Data!L484</f>
        <v>432</v>
      </c>
      <c r="O484" s="5">
        <f t="shared" si="14"/>
        <v>228.95999999999998</v>
      </c>
      <c r="P484" s="13">
        <f t="shared" si="15"/>
        <v>0.52999999999999992</v>
      </c>
      <c r="Q484" s="2" t="str">
        <f>Raw_Data!M484</f>
        <v>UPI</v>
      </c>
      <c r="R484" s="2" t="str">
        <f>Raw_Data!N484</f>
        <v>Yes</v>
      </c>
    </row>
    <row r="485" spans="1:18" x14ac:dyDescent="0.25">
      <c r="A485" s="7" t="str">
        <f>Raw_Data!A485</f>
        <v>ORD-0484</v>
      </c>
      <c r="B485" s="8">
        <f>Raw_Data!B485</f>
        <v>45384</v>
      </c>
      <c r="C485" s="7" t="str">
        <f>TEXT(Raw_Data!B485,"MMM")</f>
        <v>Apr</v>
      </c>
      <c r="D485" s="7">
        <f>YEAR(Raw_Data!B485)</f>
        <v>2024</v>
      </c>
      <c r="E485" s="9" t="str">
        <f>Raw_Data!C485</f>
        <v>Amit Kumar</v>
      </c>
      <c r="F485" s="7" t="str">
        <f>Raw_Data!D485</f>
        <v>Mumbai</v>
      </c>
      <c r="G485" s="9" t="str">
        <f>Raw_Data!E485</f>
        <v>Soframycin Cream</v>
      </c>
      <c r="H485" s="7" t="str">
        <f>Raw_Data!F485</f>
        <v>Cream</v>
      </c>
      <c r="I485" s="7">
        <f>Raw_Data!G485</f>
        <v>18</v>
      </c>
      <c r="J485" s="10">
        <f>Raw_Data!H485</f>
        <v>72</v>
      </c>
      <c r="K485" s="10">
        <f>Raw_Data!I485</f>
        <v>33.840000000000003</v>
      </c>
      <c r="L485" s="10">
        <f>Raw_Data!J485</f>
        <v>1296</v>
      </c>
      <c r="M485" s="11">
        <f>Raw_Data!K485</f>
        <v>15</v>
      </c>
      <c r="N485" s="10">
        <f>Raw_Data!L485</f>
        <v>1101.5999999999999</v>
      </c>
      <c r="O485" s="10">
        <f t="shared" si="14"/>
        <v>686.87999999999988</v>
      </c>
      <c r="P485" s="14">
        <f t="shared" si="15"/>
        <v>0.52999999999999992</v>
      </c>
      <c r="Q485" s="7" t="str">
        <f>Raw_Data!M485</f>
        <v>Cash</v>
      </c>
      <c r="R485" s="7" t="str">
        <f>Raw_Data!N485</f>
        <v>No</v>
      </c>
    </row>
    <row r="486" spans="1:18" x14ac:dyDescent="0.25">
      <c r="A486" s="2" t="str">
        <f>Raw_Data!A486</f>
        <v>ORD-0485</v>
      </c>
      <c r="B486" s="3">
        <f>Raw_Data!B486</f>
        <v>45342</v>
      </c>
      <c r="C486" s="2" t="str">
        <f>TEXT(Raw_Data!B486,"MMM")</f>
        <v>Feb</v>
      </c>
      <c r="D486" s="2">
        <f>YEAR(Raw_Data!B486)</f>
        <v>2024</v>
      </c>
      <c r="E486" s="4" t="str">
        <f>Raw_Data!C486</f>
        <v>Sunita Kumar</v>
      </c>
      <c r="F486" s="2" t="str">
        <f>Raw_Data!D486</f>
        <v>Ahmedabad</v>
      </c>
      <c r="G486" s="4" t="str">
        <f>Raw_Data!E486</f>
        <v>Antacid Syrup</v>
      </c>
      <c r="H486" s="2" t="str">
        <f>Raw_Data!F486</f>
        <v>Syrup</v>
      </c>
      <c r="I486" s="2">
        <f>Raw_Data!G486</f>
        <v>11</v>
      </c>
      <c r="J486" s="5">
        <f>Raw_Data!H486</f>
        <v>80</v>
      </c>
      <c r="K486" s="5">
        <f>Raw_Data!I486</f>
        <v>38.4</v>
      </c>
      <c r="L486" s="5">
        <f>Raw_Data!J486</f>
        <v>880</v>
      </c>
      <c r="M486" s="6">
        <f>Raw_Data!K486</f>
        <v>10</v>
      </c>
      <c r="N486" s="5">
        <f>Raw_Data!L486</f>
        <v>792</v>
      </c>
      <c r="O486" s="5">
        <f t="shared" si="14"/>
        <v>457.6</v>
      </c>
      <c r="P486" s="13">
        <f t="shared" si="15"/>
        <v>0.52</v>
      </c>
      <c r="Q486" s="2" t="str">
        <f>Raw_Data!M486</f>
        <v>UPI</v>
      </c>
      <c r="R486" s="2" t="str">
        <f>Raw_Data!N486</f>
        <v>Yes</v>
      </c>
    </row>
    <row r="487" spans="1:18" x14ac:dyDescent="0.25">
      <c r="A487" s="7" t="str">
        <f>Raw_Data!A487</f>
        <v>ORD-0486</v>
      </c>
      <c r="B487" s="8">
        <f>Raw_Data!B487</f>
        <v>45609</v>
      </c>
      <c r="C487" s="7" t="str">
        <f>TEXT(Raw_Data!B487,"MMM")</f>
        <v>Nov</v>
      </c>
      <c r="D487" s="7">
        <f>YEAR(Raw_Data!B487)</f>
        <v>2024</v>
      </c>
      <c r="E487" s="9" t="str">
        <f>Raw_Data!C487</f>
        <v>Vijay Gupta</v>
      </c>
      <c r="F487" s="7" t="str">
        <f>Raw_Data!D487</f>
        <v>Pune</v>
      </c>
      <c r="G487" s="9" t="str">
        <f>Raw_Data!E487</f>
        <v>Atorvastatin 10mg</v>
      </c>
      <c r="H487" s="7" t="str">
        <f>Raw_Data!F487</f>
        <v>Tablet</v>
      </c>
      <c r="I487" s="7">
        <f>Raw_Data!G487</f>
        <v>16</v>
      </c>
      <c r="J487" s="10">
        <f>Raw_Data!H487</f>
        <v>120</v>
      </c>
      <c r="K487" s="10">
        <f>Raw_Data!I487</f>
        <v>62.4</v>
      </c>
      <c r="L487" s="10">
        <f>Raw_Data!J487</f>
        <v>1920</v>
      </c>
      <c r="M487" s="11">
        <f>Raw_Data!K487</f>
        <v>15</v>
      </c>
      <c r="N487" s="10">
        <f>Raw_Data!L487</f>
        <v>1632</v>
      </c>
      <c r="O487" s="10">
        <f t="shared" si="14"/>
        <v>921.6</v>
      </c>
      <c r="P487" s="14">
        <f t="shared" si="15"/>
        <v>0.48000000000000004</v>
      </c>
      <c r="Q487" s="7" t="str">
        <f>Raw_Data!M487</f>
        <v>UPI</v>
      </c>
      <c r="R487" s="7" t="str">
        <f>Raw_Data!N487</f>
        <v>Yes</v>
      </c>
    </row>
    <row r="488" spans="1:18" x14ac:dyDescent="0.25">
      <c r="A488" s="2" t="str">
        <f>Raw_Data!A488</f>
        <v>ORD-0487</v>
      </c>
      <c r="B488" s="3">
        <f>Raw_Data!B488</f>
        <v>45581</v>
      </c>
      <c r="C488" s="2" t="str">
        <f>TEXT(Raw_Data!B488,"MMM")</f>
        <v>Oct</v>
      </c>
      <c r="D488" s="2">
        <f>YEAR(Raw_Data!B488)</f>
        <v>2024</v>
      </c>
      <c r="E488" s="4" t="str">
        <f>Raw_Data!C488</f>
        <v>Deepa Tiwari</v>
      </c>
      <c r="F488" s="2" t="str">
        <f>Raw_Data!D488</f>
        <v>Pune</v>
      </c>
      <c r="G488" s="4" t="str">
        <f>Raw_Data!E488</f>
        <v>Cipla Eye Drops</v>
      </c>
      <c r="H488" s="2" t="str">
        <f>Raw_Data!F488</f>
        <v>Drops</v>
      </c>
      <c r="I488" s="2">
        <f>Raw_Data!G488</f>
        <v>14</v>
      </c>
      <c r="J488" s="5">
        <f>Raw_Data!H488</f>
        <v>70</v>
      </c>
      <c r="K488" s="5">
        <f>Raw_Data!I488</f>
        <v>31.5</v>
      </c>
      <c r="L488" s="5">
        <f>Raw_Data!J488</f>
        <v>980</v>
      </c>
      <c r="M488" s="6">
        <f>Raw_Data!K488</f>
        <v>0</v>
      </c>
      <c r="N488" s="5">
        <f>Raw_Data!L488</f>
        <v>980</v>
      </c>
      <c r="O488" s="5">
        <f t="shared" si="14"/>
        <v>539</v>
      </c>
      <c r="P488" s="13">
        <f t="shared" si="15"/>
        <v>0.55000000000000004</v>
      </c>
      <c r="Q488" s="2" t="str">
        <f>Raw_Data!M488</f>
        <v>Cash</v>
      </c>
      <c r="R488" s="2" t="str">
        <f>Raw_Data!N488</f>
        <v>Yes</v>
      </c>
    </row>
    <row r="489" spans="1:18" x14ac:dyDescent="0.25">
      <c r="A489" s="7" t="str">
        <f>Raw_Data!A489</f>
        <v>ORD-0488</v>
      </c>
      <c r="B489" s="8">
        <f>Raw_Data!B489</f>
        <v>45620</v>
      </c>
      <c r="C489" s="7" t="str">
        <f>TEXT(Raw_Data!B489,"MMM")</f>
        <v>Nov</v>
      </c>
      <c r="D489" s="7">
        <f>YEAR(Raw_Data!B489)</f>
        <v>2024</v>
      </c>
      <c r="E489" s="9" t="str">
        <f>Raw_Data!C489</f>
        <v>Meera Dubey</v>
      </c>
      <c r="F489" s="7" t="str">
        <f>Raw_Data!D489</f>
        <v>Pune</v>
      </c>
      <c r="G489" s="9" t="str">
        <f>Raw_Data!E489</f>
        <v>Fluconazole 150mg</v>
      </c>
      <c r="H489" s="7" t="str">
        <f>Raw_Data!F489</f>
        <v>Capsule</v>
      </c>
      <c r="I489" s="7">
        <f>Raw_Data!G489</f>
        <v>5</v>
      </c>
      <c r="J489" s="10">
        <f>Raw_Data!H489</f>
        <v>75</v>
      </c>
      <c r="K489" s="10">
        <f>Raw_Data!I489</f>
        <v>37.5</v>
      </c>
      <c r="L489" s="10">
        <f>Raw_Data!J489</f>
        <v>375</v>
      </c>
      <c r="M489" s="11">
        <f>Raw_Data!K489</f>
        <v>10</v>
      </c>
      <c r="N489" s="10">
        <f>Raw_Data!L489</f>
        <v>337.5</v>
      </c>
      <c r="O489" s="10">
        <f t="shared" si="14"/>
        <v>187.5</v>
      </c>
      <c r="P489" s="14">
        <f t="shared" si="15"/>
        <v>0.5</v>
      </c>
      <c r="Q489" s="7" t="str">
        <f>Raw_Data!M489</f>
        <v>Card</v>
      </c>
      <c r="R489" s="7" t="str">
        <f>Raw_Data!N489</f>
        <v>No</v>
      </c>
    </row>
    <row r="490" spans="1:18" x14ac:dyDescent="0.25">
      <c r="A490" s="2" t="str">
        <f>Raw_Data!A490</f>
        <v>ORD-0489</v>
      </c>
      <c r="B490" s="3">
        <f>Raw_Data!B490</f>
        <v>45448</v>
      </c>
      <c r="C490" s="2" t="str">
        <f>TEXT(Raw_Data!B490,"MMM")</f>
        <v>Jun</v>
      </c>
      <c r="D490" s="2">
        <f>YEAR(Raw_Data!B490)</f>
        <v>2024</v>
      </c>
      <c r="E490" s="4" t="str">
        <f>Raw_Data!C490</f>
        <v>Vikram Nair</v>
      </c>
      <c r="F490" s="2" t="str">
        <f>Raw_Data!D490</f>
        <v>Bangalore</v>
      </c>
      <c r="G490" s="4" t="str">
        <f>Raw_Data!E490</f>
        <v>Omeprazole 20mg</v>
      </c>
      <c r="H490" s="2" t="str">
        <f>Raw_Data!F490</f>
        <v>Capsule</v>
      </c>
      <c r="I490" s="2">
        <f>Raw_Data!G490</f>
        <v>20</v>
      </c>
      <c r="J490" s="5">
        <f>Raw_Data!H490</f>
        <v>40</v>
      </c>
      <c r="K490" s="5">
        <f>Raw_Data!I490</f>
        <v>20</v>
      </c>
      <c r="L490" s="5">
        <f>Raw_Data!J490</f>
        <v>800</v>
      </c>
      <c r="M490" s="6">
        <f>Raw_Data!K490</f>
        <v>0</v>
      </c>
      <c r="N490" s="5">
        <f>Raw_Data!L490</f>
        <v>800</v>
      </c>
      <c r="O490" s="5">
        <f t="shared" si="14"/>
        <v>400</v>
      </c>
      <c r="P490" s="13">
        <f t="shared" si="15"/>
        <v>0.5</v>
      </c>
      <c r="Q490" s="2" t="str">
        <f>Raw_Data!M490</f>
        <v>UPI</v>
      </c>
      <c r="R490" s="2" t="str">
        <f>Raw_Data!N490</f>
        <v>No</v>
      </c>
    </row>
    <row r="491" spans="1:18" x14ac:dyDescent="0.25">
      <c r="A491" s="7" t="str">
        <f>Raw_Data!A491</f>
        <v>ORD-0490</v>
      </c>
      <c r="B491" s="8">
        <f>Raw_Data!B491</f>
        <v>45567</v>
      </c>
      <c r="C491" s="7" t="str">
        <f>TEXT(Raw_Data!B491,"MMM")</f>
        <v>Oct</v>
      </c>
      <c r="D491" s="7">
        <f>YEAR(Raw_Data!B491)</f>
        <v>2024</v>
      </c>
      <c r="E491" s="9" t="str">
        <f>Raw_Data!C491</f>
        <v>Vijay Rao</v>
      </c>
      <c r="F491" s="7" t="str">
        <f>Raw_Data!D491</f>
        <v>Delhi</v>
      </c>
      <c r="G491" s="9" t="str">
        <f>Raw_Data!E491</f>
        <v>Paracetamol Syrup</v>
      </c>
      <c r="H491" s="7" t="str">
        <f>Raw_Data!F491</f>
        <v>Syrup</v>
      </c>
      <c r="I491" s="7">
        <f>Raw_Data!G491</f>
        <v>3</v>
      </c>
      <c r="J491" s="10">
        <f>Raw_Data!H491</f>
        <v>45</v>
      </c>
      <c r="K491" s="10">
        <f>Raw_Data!I491</f>
        <v>21.6</v>
      </c>
      <c r="L491" s="10">
        <f>Raw_Data!J491</f>
        <v>135</v>
      </c>
      <c r="M491" s="11">
        <f>Raw_Data!K491</f>
        <v>0</v>
      </c>
      <c r="N491" s="10">
        <f>Raw_Data!L491</f>
        <v>135</v>
      </c>
      <c r="O491" s="10">
        <f t="shared" si="14"/>
        <v>70.199999999999989</v>
      </c>
      <c r="P491" s="14">
        <f t="shared" si="15"/>
        <v>0.51999999999999991</v>
      </c>
      <c r="Q491" s="7" t="str">
        <f>Raw_Data!M491</f>
        <v>UPI</v>
      </c>
      <c r="R491" s="7" t="str">
        <f>Raw_Data!N491</f>
        <v>No</v>
      </c>
    </row>
    <row r="492" spans="1:18" x14ac:dyDescent="0.25">
      <c r="A492" s="2" t="str">
        <f>Raw_Data!A492</f>
        <v>ORD-0491</v>
      </c>
      <c r="B492" s="3">
        <f>Raw_Data!B492</f>
        <v>45499</v>
      </c>
      <c r="C492" s="2" t="str">
        <f>TEXT(Raw_Data!B492,"MMM")</f>
        <v>Jul</v>
      </c>
      <c r="D492" s="2">
        <f>YEAR(Raw_Data!B492)</f>
        <v>2024</v>
      </c>
      <c r="E492" s="4" t="str">
        <f>Raw_Data!C492</f>
        <v>Swati Shah</v>
      </c>
      <c r="F492" s="2" t="str">
        <f>Raw_Data!D492</f>
        <v>Hyderabad</v>
      </c>
      <c r="G492" s="4" t="str">
        <f>Raw_Data!E492</f>
        <v>Antifungal Powder</v>
      </c>
      <c r="H492" s="2" t="str">
        <f>Raw_Data!F492</f>
        <v>Powder</v>
      </c>
      <c r="I492" s="2">
        <f>Raw_Data!G492</f>
        <v>2</v>
      </c>
      <c r="J492" s="5">
        <f>Raw_Data!H492</f>
        <v>55</v>
      </c>
      <c r="K492" s="5">
        <f>Raw_Data!I492</f>
        <v>30.25</v>
      </c>
      <c r="L492" s="5">
        <f>Raw_Data!J492</f>
        <v>110</v>
      </c>
      <c r="M492" s="6">
        <f>Raw_Data!K492</f>
        <v>20</v>
      </c>
      <c r="N492" s="5">
        <f>Raw_Data!L492</f>
        <v>88</v>
      </c>
      <c r="O492" s="5">
        <f t="shared" si="14"/>
        <v>49.5</v>
      </c>
      <c r="P492" s="13">
        <f t="shared" si="15"/>
        <v>0.45</v>
      </c>
      <c r="Q492" s="2" t="str">
        <f>Raw_Data!M492</f>
        <v>UPI</v>
      </c>
      <c r="R492" s="2" t="str">
        <f>Raw_Data!N492</f>
        <v>No</v>
      </c>
    </row>
    <row r="493" spans="1:18" x14ac:dyDescent="0.25">
      <c r="A493" s="7" t="str">
        <f>Raw_Data!A493</f>
        <v>ORD-0492</v>
      </c>
      <c r="B493" s="8">
        <f>Raw_Data!B493</f>
        <v>45626</v>
      </c>
      <c r="C493" s="7" t="str">
        <f>TEXT(Raw_Data!B493,"MMM")</f>
        <v>Nov</v>
      </c>
      <c r="D493" s="7">
        <f>YEAR(Raw_Data!B493)</f>
        <v>2024</v>
      </c>
      <c r="E493" s="9" t="str">
        <f>Raw_Data!C493</f>
        <v>Kavita Gupta</v>
      </c>
      <c r="F493" s="7" t="str">
        <f>Raw_Data!D493</f>
        <v>Pune</v>
      </c>
      <c r="G493" s="9" t="str">
        <f>Raw_Data!E493</f>
        <v>ORS Electrolyte</v>
      </c>
      <c r="H493" s="7" t="str">
        <f>Raw_Data!F493</f>
        <v>Powder</v>
      </c>
      <c r="I493" s="7">
        <f>Raw_Data!G493</f>
        <v>13</v>
      </c>
      <c r="J493" s="10">
        <f>Raw_Data!H493</f>
        <v>30</v>
      </c>
      <c r="K493" s="10">
        <f>Raw_Data!I493</f>
        <v>16.5</v>
      </c>
      <c r="L493" s="10">
        <f>Raw_Data!J493</f>
        <v>390</v>
      </c>
      <c r="M493" s="11">
        <f>Raw_Data!K493</f>
        <v>5</v>
      </c>
      <c r="N493" s="10">
        <f>Raw_Data!L493</f>
        <v>370.5</v>
      </c>
      <c r="O493" s="10">
        <f t="shared" si="14"/>
        <v>175.5</v>
      </c>
      <c r="P493" s="14">
        <f t="shared" si="15"/>
        <v>0.45</v>
      </c>
      <c r="Q493" s="7" t="str">
        <f>Raw_Data!M493</f>
        <v>Card</v>
      </c>
      <c r="R493" s="7" t="str">
        <f>Raw_Data!N493</f>
        <v>No</v>
      </c>
    </row>
    <row r="494" spans="1:18" x14ac:dyDescent="0.25">
      <c r="A494" s="2" t="str">
        <f>Raw_Data!A494</f>
        <v>ORD-0493</v>
      </c>
      <c r="B494" s="3">
        <f>Raw_Data!B494</f>
        <v>45529</v>
      </c>
      <c r="C494" s="2" t="str">
        <f>TEXT(Raw_Data!B494,"MMM")</f>
        <v>Aug</v>
      </c>
      <c r="D494" s="2">
        <f>YEAR(Raw_Data!B494)</f>
        <v>2024</v>
      </c>
      <c r="E494" s="4" t="str">
        <f>Raw_Data!C494</f>
        <v>Nisha Agarwal</v>
      </c>
      <c r="F494" s="2" t="str">
        <f>Raw_Data!D494</f>
        <v>Delhi</v>
      </c>
      <c r="G494" s="4" t="str">
        <f>Raw_Data!E494</f>
        <v>Refresh Tears</v>
      </c>
      <c r="H494" s="2" t="str">
        <f>Raw_Data!F494</f>
        <v>Drops</v>
      </c>
      <c r="I494" s="2">
        <f>Raw_Data!G494</f>
        <v>13</v>
      </c>
      <c r="J494" s="5">
        <f>Raw_Data!H494</f>
        <v>110</v>
      </c>
      <c r="K494" s="5">
        <f>Raw_Data!I494</f>
        <v>49.5</v>
      </c>
      <c r="L494" s="5">
        <f>Raw_Data!J494</f>
        <v>1430</v>
      </c>
      <c r="M494" s="6">
        <f>Raw_Data!K494</f>
        <v>10</v>
      </c>
      <c r="N494" s="5">
        <f>Raw_Data!L494</f>
        <v>1287</v>
      </c>
      <c r="O494" s="5">
        <f t="shared" si="14"/>
        <v>786.5</v>
      </c>
      <c r="P494" s="13">
        <f t="shared" si="15"/>
        <v>0.55000000000000004</v>
      </c>
      <c r="Q494" s="2" t="str">
        <f>Raw_Data!M494</f>
        <v>UPI</v>
      </c>
      <c r="R494" s="2" t="str">
        <f>Raw_Data!N494</f>
        <v>No</v>
      </c>
    </row>
    <row r="495" spans="1:18" x14ac:dyDescent="0.25">
      <c r="A495" s="7" t="str">
        <f>Raw_Data!A495</f>
        <v>ORD-0494</v>
      </c>
      <c r="B495" s="8">
        <f>Raw_Data!B495</f>
        <v>45376</v>
      </c>
      <c r="C495" s="7" t="str">
        <f>TEXT(Raw_Data!B495,"MMM")</f>
        <v>Mar</v>
      </c>
      <c r="D495" s="7">
        <f>YEAR(Raw_Data!B495)</f>
        <v>2024</v>
      </c>
      <c r="E495" s="9" t="str">
        <f>Raw_Data!C495</f>
        <v>Vikram Tiwari</v>
      </c>
      <c r="F495" s="7" t="str">
        <f>Raw_Data!D495</f>
        <v>Bangalore</v>
      </c>
      <c r="G495" s="9" t="str">
        <f>Raw_Data!E495</f>
        <v>Antifungal Powder</v>
      </c>
      <c r="H495" s="7" t="str">
        <f>Raw_Data!F495</f>
        <v>Powder</v>
      </c>
      <c r="I495" s="7">
        <f>Raw_Data!G495</f>
        <v>15</v>
      </c>
      <c r="J495" s="10">
        <f>Raw_Data!H495</f>
        <v>55</v>
      </c>
      <c r="K495" s="10">
        <f>Raw_Data!I495</f>
        <v>30.25</v>
      </c>
      <c r="L495" s="10">
        <f>Raw_Data!J495</f>
        <v>825</v>
      </c>
      <c r="M495" s="11">
        <f>Raw_Data!K495</f>
        <v>0</v>
      </c>
      <c r="N495" s="10">
        <f>Raw_Data!L495</f>
        <v>825</v>
      </c>
      <c r="O495" s="10">
        <f t="shared" si="14"/>
        <v>371.25</v>
      </c>
      <c r="P495" s="14">
        <f t="shared" si="15"/>
        <v>0.45</v>
      </c>
      <c r="Q495" s="7" t="str">
        <f>Raw_Data!M495</f>
        <v>UPI</v>
      </c>
      <c r="R495" s="7" t="str">
        <f>Raw_Data!N495</f>
        <v>No</v>
      </c>
    </row>
    <row r="496" spans="1:18" x14ac:dyDescent="0.25">
      <c r="A496" s="2" t="str">
        <f>Raw_Data!A496</f>
        <v>ORD-0495</v>
      </c>
      <c r="B496" s="3">
        <f>Raw_Data!B496</f>
        <v>45539</v>
      </c>
      <c r="C496" s="2" t="str">
        <f>TEXT(Raw_Data!B496,"MMM")</f>
        <v>Sep</v>
      </c>
      <c r="D496" s="2">
        <f>YEAR(Raw_Data!B496)</f>
        <v>2024</v>
      </c>
      <c r="E496" s="4" t="str">
        <f>Raw_Data!C496</f>
        <v>Priya Agarwal</v>
      </c>
      <c r="F496" s="2" t="str">
        <f>Raw_Data!D496</f>
        <v>Hyderabad</v>
      </c>
      <c r="G496" s="4" t="str">
        <f>Raw_Data!E496</f>
        <v>Insulin Glargine</v>
      </c>
      <c r="H496" s="2" t="str">
        <f>Raw_Data!F496</f>
        <v>Injection</v>
      </c>
      <c r="I496" s="2">
        <f>Raw_Data!G496</f>
        <v>16</v>
      </c>
      <c r="J496" s="5">
        <f>Raw_Data!H496</f>
        <v>850</v>
      </c>
      <c r="K496" s="5">
        <f>Raw_Data!I496</f>
        <v>510</v>
      </c>
      <c r="L496" s="5">
        <f>Raw_Data!J496</f>
        <v>13600</v>
      </c>
      <c r="M496" s="6">
        <f>Raw_Data!K496</f>
        <v>5</v>
      </c>
      <c r="N496" s="5">
        <f>Raw_Data!L496</f>
        <v>12920</v>
      </c>
      <c r="O496" s="5">
        <f t="shared" si="14"/>
        <v>5440</v>
      </c>
      <c r="P496" s="13">
        <f t="shared" si="15"/>
        <v>0.4</v>
      </c>
      <c r="Q496" s="2" t="str">
        <f>Raw_Data!M496</f>
        <v>Card</v>
      </c>
      <c r="R496" s="2" t="str">
        <f>Raw_Data!N496</f>
        <v>Yes</v>
      </c>
    </row>
    <row r="497" spans="1:18" x14ac:dyDescent="0.25">
      <c r="A497" s="7" t="str">
        <f>Raw_Data!A497</f>
        <v>ORD-0496</v>
      </c>
      <c r="B497" s="8">
        <f>Raw_Data!B497</f>
        <v>45397</v>
      </c>
      <c r="C497" s="7" t="str">
        <f>TEXT(Raw_Data!B497,"MMM")</f>
        <v>Apr</v>
      </c>
      <c r="D497" s="7">
        <f>YEAR(Raw_Data!B497)</f>
        <v>2024</v>
      </c>
      <c r="E497" s="9" t="str">
        <f>Raw_Data!C497</f>
        <v>Arjun Patel</v>
      </c>
      <c r="F497" s="7" t="str">
        <f>Raw_Data!D497</f>
        <v>Kolkata</v>
      </c>
      <c r="G497" s="9" t="str">
        <f>Raw_Data!E497</f>
        <v>Cipla Eye Drops</v>
      </c>
      <c r="H497" s="7" t="str">
        <f>Raw_Data!F497</f>
        <v>Drops</v>
      </c>
      <c r="I497" s="7">
        <f>Raw_Data!G497</f>
        <v>16</v>
      </c>
      <c r="J497" s="10">
        <f>Raw_Data!H497</f>
        <v>70</v>
      </c>
      <c r="K497" s="10">
        <f>Raw_Data!I497</f>
        <v>31.5</v>
      </c>
      <c r="L497" s="10">
        <f>Raw_Data!J497</f>
        <v>1120</v>
      </c>
      <c r="M497" s="11">
        <f>Raw_Data!K497</f>
        <v>15</v>
      </c>
      <c r="N497" s="10">
        <f>Raw_Data!L497</f>
        <v>952</v>
      </c>
      <c r="O497" s="10">
        <f t="shared" si="14"/>
        <v>616</v>
      </c>
      <c r="P497" s="14">
        <f t="shared" si="15"/>
        <v>0.55000000000000004</v>
      </c>
      <c r="Q497" s="7" t="str">
        <f>Raw_Data!M497</f>
        <v>Cash</v>
      </c>
      <c r="R497" s="7" t="str">
        <f>Raw_Data!N497</f>
        <v>No</v>
      </c>
    </row>
    <row r="498" spans="1:18" x14ac:dyDescent="0.25">
      <c r="A498" s="2" t="str">
        <f>Raw_Data!A498</f>
        <v>ORD-0497</v>
      </c>
      <c r="B498" s="3">
        <f>Raw_Data!B498</f>
        <v>45652</v>
      </c>
      <c r="C498" s="2" t="str">
        <f>TEXT(Raw_Data!B498,"MMM")</f>
        <v>Dec</v>
      </c>
      <c r="D498" s="2">
        <f>YEAR(Raw_Data!B498)</f>
        <v>2024</v>
      </c>
      <c r="E498" s="4" t="str">
        <f>Raw_Data!C498</f>
        <v>Nikhil Joshi</v>
      </c>
      <c r="F498" s="2" t="str">
        <f>Raw_Data!D498</f>
        <v>Chennai</v>
      </c>
      <c r="G498" s="4" t="str">
        <f>Raw_Data!E498</f>
        <v>Refresh Tears</v>
      </c>
      <c r="H498" s="2" t="str">
        <f>Raw_Data!F498</f>
        <v>Drops</v>
      </c>
      <c r="I498" s="2">
        <f>Raw_Data!G498</f>
        <v>9</v>
      </c>
      <c r="J498" s="5">
        <f>Raw_Data!H498</f>
        <v>110</v>
      </c>
      <c r="K498" s="5">
        <f>Raw_Data!I498</f>
        <v>49.5</v>
      </c>
      <c r="L498" s="5">
        <f>Raw_Data!J498</f>
        <v>990</v>
      </c>
      <c r="M498" s="6">
        <f>Raw_Data!K498</f>
        <v>20</v>
      </c>
      <c r="N498" s="5">
        <f>Raw_Data!L498</f>
        <v>792</v>
      </c>
      <c r="O498" s="5">
        <f t="shared" si="14"/>
        <v>544.5</v>
      </c>
      <c r="P498" s="13">
        <f t="shared" si="15"/>
        <v>0.55000000000000004</v>
      </c>
      <c r="Q498" s="2" t="str">
        <f>Raw_Data!M498</f>
        <v>Card</v>
      </c>
      <c r="R498" s="2" t="str">
        <f>Raw_Data!N498</f>
        <v>No</v>
      </c>
    </row>
    <row r="499" spans="1:18" x14ac:dyDescent="0.25">
      <c r="A499" s="7" t="str">
        <f>Raw_Data!A499</f>
        <v>ORD-0498</v>
      </c>
      <c r="B499" s="8">
        <f>Raw_Data!B499</f>
        <v>45592</v>
      </c>
      <c r="C499" s="7" t="str">
        <f>TEXT(Raw_Data!B499,"MMM")</f>
        <v>Oct</v>
      </c>
      <c r="D499" s="7">
        <f>YEAR(Raw_Data!B499)</f>
        <v>2024</v>
      </c>
      <c r="E499" s="9" t="str">
        <f>Raw_Data!C499</f>
        <v>Nikhil Joshi</v>
      </c>
      <c r="F499" s="7" t="str">
        <f>Raw_Data!D499</f>
        <v>Jaipur</v>
      </c>
      <c r="G499" s="9" t="str">
        <f>Raw_Data!E499</f>
        <v>Betadine Cream</v>
      </c>
      <c r="H499" s="7" t="str">
        <f>Raw_Data!F499</f>
        <v>Cream</v>
      </c>
      <c r="I499" s="7">
        <f>Raw_Data!G499</f>
        <v>9</v>
      </c>
      <c r="J499" s="10">
        <f>Raw_Data!H499</f>
        <v>85</v>
      </c>
      <c r="K499" s="10">
        <f>Raw_Data!I499</f>
        <v>39.950000000000003</v>
      </c>
      <c r="L499" s="10">
        <f>Raw_Data!J499</f>
        <v>765</v>
      </c>
      <c r="M499" s="11">
        <f>Raw_Data!K499</f>
        <v>10</v>
      </c>
      <c r="N499" s="10">
        <f>Raw_Data!L499</f>
        <v>688.5</v>
      </c>
      <c r="O499" s="10">
        <f t="shared" si="14"/>
        <v>405.45</v>
      </c>
      <c r="P499" s="14">
        <f t="shared" si="15"/>
        <v>0.53</v>
      </c>
      <c r="Q499" s="7" t="str">
        <f>Raw_Data!M499</f>
        <v>Cash</v>
      </c>
      <c r="R499" s="7" t="str">
        <f>Raw_Data!N499</f>
        <v>No</v>
      </c>
    </row>
    <row r="500" spans="1:18" x14ac:dyDescent="0.25">
      <c r="A500" s="2" t="str">
        <f>Raw_Data!A500</f>
        <v>ORD-0499</v>
      </c>
      <c r="B500" s="3">
        <f>Raw_Data!B500</f>
        <v>45468</v>
      </c>
      <c r="C500" s="2" t="str">
        <f>TEXT(Raw_Data!B500,"MMM")</f>
        <v>Jun</v>
      </c>
      <c r="D500" s="2">
        <f>YEAR(Raw_Data!B500)</f>
        <v>2024</v>
      </c>
      <c r="E500" s="4" t="str">
        <f>Raw_Data!C500</f>
        <v>Deepa Patel</v>
      </c>
      <c r="F500" s="2" t="str">
        <f>Raw_Data!D500</f>
        <v>Surat</v>
      </c>
      <c r="G500" s="4" t="str">
        <f>Raw_Data!E500</f>
        <v>Vitamin D3 60K</v>
      </c>
      <c r="H500" s="2" t="str">
        <f>Raw_Data!F500</f>
        <v>Capsule</v>
      </c>
      <c r="I500" s="2">
        <f>Raw_Data!G500</f>
        <v>1</v>
      </c>
      <c r="J500" s="5">
        <f>Raw_Data!H500</f>
        <v>55</v>
      </c>
      <c r="K500" s="5">
        <f>Raw_Data!I500</f>
        <v>27.5</v>
      </c>
      <c r="L500" s="5">
        <f>Raw_Data!J500</f>
        <v>55</v>
      </c>
      <c r="M500" s="6">
        <f>Raw_Data!K500</f>
        <v>20</v>
      </c>
      <c r="N500" s="5">
        <f>Raw_Data!L500</f>
        <v>44</v>
      </c>
      <c r="O500" s="5">
        <f t="shared" si="14"/>
        <v>27.5</v>
      </c>
      <c r="P500" s="13">
        <f t="shared" si="15"/>
        <v>0.5</v>
      </c>
      <c r="Q500" s="2" t="str">
        <f>Raw_Data!M500</f>
        <v>Card</v>
      </c>
      <c r="R500" s="2" t="str">
        <f>Raw_Data!N500</f>
        <v>No</v>
      </c>
    </row>
    <row r="501" spans="1:18" x14ac:dyDescent="0.25">
      <c r="A501" s="7" t="str">
        <f>Raw_Data!A501</f>
        <v>ORD-0500</v>
      </c>
      <c r="B501" s="8">
        <f>Raw_Data!B501</f>
        <v>45555</v>
      </c>
      <c r="C501" s="7" t="str">
        <f>TEXT(Raw_Data!B501,"MMM")</f>
        <v>Sep</v>
      </c>
      <c r="D501" s="7">
        <f>YEAR(Raw_Data!B501)</f>
        <v>2024</v>
      </c>
      <c r="E501" s="9" t="str">
        <f>Raw_Data!C501</f>
        <v>Sunita Agarwal</v>
      </c>
      <c r="F501" s="7" t="str">
        <f>Raw_Data!D501</f>
        <v>Hyderabad</v>
      </c>
      <c r="G501" s="9" t="str">
        <f>Raw_Data!E501</f>
        <v>Candid Cream</v>
      </c>
      <c r="H501" s="7" t="str">
        <f>Raw_Data!F501</f>
        <v>Cream</v>
      </c>
      <c r="I501" s="7">
        <f>Raw_Data!G501</f>
        <v>5</v>
      </c>
      <c r="J501" s="10">
        <f>Raw_Data!H501</f>
        <v>65</v>
      </c>
      <c r="K501" s="10">
        <f>Raw_Data!I501</f>
        <v>30.55</v>
      </c>
      <c r="L501" s="10">
        <f>Raw_Data!J501</f>
        <v>325</v>
      </c>
      <c r="M501" s="11">
        <f>Raw_Data!K501</f>
        <v>0</v>
      </c>
      <c r="N501" s="10">
        <f>Raw_Data!L501</f>
        <v>325</v>
      </c>
      <c r="O501" s="10">
        <f t="shared" si="14"/>
        <v>172.25</v>
      </c>
      <c r="P501" s="14">
        <f t="shared" si="15"/>
        <v>0.53</v>
      </c>
      <c r="Q501" s="7" t="str">
        <f>Raw_Data!M501</f>
        <v>UPI</v>
      </c>
      <c r="R501" s="7" t="str">
        <f>Raw_Data!N501</f>
        <v>Yes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showGridLines="0" zoomScaleNormal="100" workbookViewId="0">
      <selection sqref="A1:M1"/>
    </sheetView>
  </sheetViews>
  <sheetFormatPr defaultColWidth="8.7109375" defaultRowHeight="15" x14ac:dyDescent="0.25"/>
  <cols>
    <col min="1" max="13" width="17" customWidth="1"/>
  </cols>
  <sheetData>
    <row r="1" spans="1:13" ht="36" customHeight="1" x14ac:dyDescent="0.25">
      <c r="A1" s="44" t="s">
        <v>813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13" ht="34.5" customHeight="1" x14ac:dyDescent="0.25"/>
    <row r="3" spans="1:13" ht="21.75" customHeight="1" x14ac:dyDescent="0.25">
      <c r="A3" s="45" t="s">
        <v>814</v>
      </c>
      <c r="B3" s="15" t="s">
        <v>815</v>
      </c>
      <c r="D3" s="15" t="s">
        <v>816</v>
      </c>
      <c r="F3" s="15" t="s">
        <v>817</v>
      </c>
      <c r="H3" s="15" t="s">
        <v>818</v>
      </c>
      <c r="J3" s="15" t="s">
        <v>819</v>
      </c>
      <c r="L3" s="15" t="s">
        <v>820</v>
      </c>
    </row>
    <row r="4" spans="1:13" ht="21.75" customHeight="1" x14ac:dyDescent="0.25">
      <c r="A4" s="45"/>
      <c r="B4" s="16">
        <f>SUM(Cleaned_Data!L2:L501)</f>
        <v>630358</v>
      </c>
      <c r="D4" s="17">
        <f>COUNTA(Cleaned_Data!A2:A501)</f>
        <v>500</v>
      </c>
      <c r="F4" s="17">
        <f>SUM(Cleaned_Data!I2:I501)</f>
        <v>5305</v>
      </c>
      <c r="H4" s="16">
        <f>IFERROR(B4/D4,0)</f>
        <v>1260.7159999999999</v>
      </c>
      <c r="J4" s="16">
        <f>SUMPRODUCT(Cleaned_Data!J2:J501,Cleaned_Data!M2:M501/100)</f>
        <v>4408.3999999999996</v>
      </c>
      <c r="L4" s="18">
        <f>AVERAGEIF(Cleaned_Data!P2:P501,"&gt;0")</f>
        <v>0.48708000000000051</v>
      </c>
    </row>
    <row r="5" spans="1:13" ht="21.75" customHeight="1" x14ac:dyDescent="0.25"/>
    <row r="6" spans="1:13" ht="21.75" customHeight="1" x14ac:dyDescent="0.25"/>
    <row r="7" spans="1:13" ht="21.75" customHeight="1" x14ac:dyDescent="0.25">
      <c r="A7" s="46" t="s">
        <v>821</v>
      </c>
      <c r="B7" s="46"/>
      <c r="G7" s="46" t="s">
        <v>822</v>
      </c>
      <c r="H7" s="46"/>
      <c r="I7" s="46"/>
      <c r="K7" s="46" t="s">
        <v>823</v>
      </c>
      <c r="L7" s="46"/>
      <c r="M7" s="46"/>
    </row>
    <row r="8" spans="1:13" x14ac:dyDescent="0.25">
      <c r="A8" s="12" t="s">
        <v>5</v>
      </c>
      <c r="B8" s="12" t="s">
        <v>824</v>
      </c>
      <c r="C8" s="12" t="s">
        <v>825</v>
      </c>
      <c r="D8" s="12" t="s">
        <v>826</v>
      </c>
      <c r="E8" s="12" t="s">
        <v>827</v>
      </c>
      <c r="G8" s="12" t="s">
        <v>809</v>
      </c>
      <c r="H8" s="12" t="s">
        <v>824</v>
      </c>
      <c r="I8" s="12" t="s">
        <v>828</v>
      </c>
      <c r="K8" s="12" t="s">
        <v>829</v>
      </c>
      <c r="L8" s="12" t="s">
        <v>824</v>
      </c>
      <c r="M8" s="12" t="s">
        <v>830</v>
      </c>
    </row>
    <row r="9" spans="1:13" x14ac:dyDescent="0.25">
      <c r="A9" s="19" t="s">
        <v>25</v>
      </c>
      <c r="B9" s="20">
        <f>SUMIF(Cleaned_Data!H2:H501,A9,Cleaned_Data!L2:L501)</f>
        <v>39715</v>
      </c>
      <c r="C9" s="21">
        <f>COUNTIF(Cleaned_Data!H2:H501,A9)</f>
        <v>67</v>
      </c>
      <c r="D9" s="20">
        <f t="shared" ref="D9:D15" si="0">IFERROR(B9/C9,0)</f>
        <v>592.7611940298508</v>
      </c>
      <c r="E9" s="21">
        <f>SUMIF(Cleaned_Data!H2:H501,A9,Cleaned_Data!I2:I501)</f>
        <v>660</v>
      </c>
      <c r="G9" s="22" t="s">
        <v>831</v>
      </c>
      <c r="H9" s="20">
        <f>SUMIF(Cleaned_Data!C2:C501,G9,Cleaned_Data!L2:L501)</f>
        <v>60563</v>
      </c>
      <c r="I9" s="21">
        <f>COUNTIF(Cleaned_Data!C2:C501,G9)</f>
        <v>44</v>
      </c>
      <c r="K9" s="22" t="s">
        <v>19</v>
      </c>
      <c r="L9" s="20">
        <f>SUMIF(Cleaned_Data!Q2:Q501,K9,Cleaned_Data!L2:L501)</f>
        <v>180818</v>
      </c>
      <c r="M9" s="14">
        <f>IFERROR(L9/SUM(L9:L11),0)</f>
        <v>0.28684969493525903</v>
      </c>
    </row>
    <row r="10" spans="1:13" x14ac:dyDescent="0.25">
      <c r="A10" s="23" t="s">
        <v>31</v>
      </c>
      <c r="B10" s="24">
        <f>SUMIF(Cleaned_Data!H2:H501,A10,Cleaned_Data!L2:L501)</f>
        <v>56799</v>
      </c>
      <c r="C10" s="25">
        <f>COUNTIF(Cleaned_Data!H2:H501,A10)</f>
        <v>68</v>
      </c>
      <c r="D10" s="24">
        <f t="shared" si="0"/>
        <v>835.27941176470586</v>
      </c>
      <c r="E10" s="25">
        <f>SUMIF(Cleaned_Data!H2:H501,A10,Cleaned_Data!I2:I501)</f>
        <v>770</v>
      </c>
      <c r="G10" s="26" t="s">
        <v>832</v>
      </c>
      <c r="H10" s="24">
        <f>SUMIF(Cleaned_Data!C2:C501,G10,Cleaned_Data!L2:L501)</f>
        <v>49168</v>
      </c>
      <c r="I10" s="25">
        <f>COUNTIF(Cleaned_Data!C2:C501,G10)</f>
        <v>41</v>
      </c>
      <c r="K10" s="26" t="s">
        <v>47</v>
      </c>
      <c r="L10" s="24">
        <f>SUMIF(Cleaned_Data!Q2:Q501,K10,Cleaned_Data!L2:L501)</f>
        <v>193139</v>
      </c>
      <c r="M10" s="13">
        <f>IFERROR(L10/SUM(L9:L11),0)</f>
        <v>0.30639573068002629</v>
      </c>
    </row>
    <row r="11" spans="1:13" x14ac:dyDescent="0.25">
      <c r="A11" s="19" t="s">
        <v>70</v>
      </c>
      <c r="B11" s="20">
        <f>SUMIF(Cleaned_Data!H2:H501,A11,Cleaned_Data!L2:L501)</f>
        <v>71460</v>
      </c>
      <c r="C11" s="21">
        <f>COUNTIF(Cleaned_Data!H2:H501,A11)</f>
        <v>68</v>
      </c>
      <c r="D11" s="20">
        <f t="shared" si="0"/>
        <v>1050.8823529411766</v>
      </c>
      <c r="E11" s="21">
        <f>SUMIF(Cleaned_Data!H2:H501,A11,Cleaned_Data!I2:I501)</f>
        <v>787</v>
      </c>
      <c r="G11" s="22" t="s">
        <v>833</v>
      </c>
      <c r="H11" s="20">
        <f>SUMIF(Cleaned_Data!C2:C501,G11,Cleaned_Data!L2:L501)</f>
        <v>54725</v>
      </c>
      <c r="I11" s="21">
        <f>COUNTIF(Cleaned_Data!C2:C501,G11)</f>
        <v>46</v>
      </c>
      <c r="K11" s="22" t="s">
        <v>26</v>
      </c>
      <c r="L11" s="20">
        <f>SUMIF(Cleaned_Data!Q2:Q501,K11,Cleaned_Data!L2:L501)</f>
        <v>256401</v>
      </c>
      <c r="M11" s="14">
        <f>IFERROR(L11/SUM(L9:L11),0)</f>
        <v>0.40675457438471474</v>
      </c>
    </row>
    <row r="12" spans="1:13" x14ac:dyDescent="0.25">
      <c r="A12" s="23" t="s">
        <v>51</v>
      </c>
      <c r="B12" s="24">
        <f>SUMIF(Cleaned_Data!H2:H501,A12,Cleaned_Data!L2:L501)</f>
        <v>184555</v>
      </c>
      <c r="C12" s="25">
        <f>COUNTIF(Cleaned_Data!H2:H501,A12)</f>
        <v>75</v>
      </c>
      <c r="D12" s="24">
        <f t="shared" si="0"/>
        <v>2460.7333333333331</v>
      </c>
      <c r="E12" s="25">
        <f>SUMIF(Cleaned_Data!H2:H501,A12,Cleaned_Data!I2:I501)</f>
        <v>792</v>
      </c>
      <c r="G12" s="26" t="s">
        <v>834</v>
      </c>
      <c r="H12" s="24">
        <f>SUMIF(Cleaned_Data!C2:C501,G12,Cleaned_Data!L2:L501)</f>
        <v>28326</v>
      </c>
      <c r="I12" s="25">
        <f>COUNTIF(Cleaned_Data!C2:C501,G12)</f>
        <v>24</v>
      </c>
    </row>
    <row r="13" spans="1:13" x14ac:dyDescent="0.25">
      <c r="A13" s="19" t="s">
        <v>46</v>
      </c>
      <c r="B13" s="20">
        <f>SUMIF(Cleaned_Data!H2:H501,A13,Cleaned_Data!L2:L501)</f>
        <v>178125</v>
      </c>
      <c r="C13" s="21">
        <f>COUNTIF(Cleaned_Data!H2:H501,A13)</f>
        <v>84</v>
      </c>
      <c r="D13" s="20">
        <f t="shared" si="0"/>
        <v>2120.5357142857142</v>
      </c>
      <c r="E13" s="21">
        <f>SUMIF(Cleaned_Data!H2:H501,A13,Cleaned_Data!I2:I501)</f>
        <v>865</v>
      </c>
      <c r="G13" s="22" t="s">
        <v>835</v>
      </c>
      <c r="H13" s="20">
        <f>SUMIF(Cleaned_Data!C2:C501,G13,Cleaned_Data!L2:L501)</f>
        <v>20021</v>
      </c>
      <c r="I13" s="21">
        <f>COUNTIF(Cleaned_Data!C2:C501,G13)</f>
        <v>18</v>
      </c>
    </row>
    <row r="14" spans="1:13" x14ac:dyDescent="0.25">
      <c r="A14" s="23" t="s">
        <v>66</v>
      </c>
      <c r="B14" s="24">
        <f>SUMIF(Cleaned_Data!H2:H501,A14,Cleaned_Data!L2:L501)</f>
        <v>45535</v>
      </c>
      <c r="C14" s="25">
        <f>COUNTIF(Cleaned_Data!H2:H501,A14)</f>
        <v>64</v>
      </c>
      <c r="D14" s="24">
        <f t="shared" si="0"/>
        <v>711.484375</v>
      </c>
      <c r="E14" s="25">
        <f>SUMIF(Cleaned_Data!H2:H501,A14,Cleaned_Data!I2:I501)</f>
        <v>667</v>
      </c>
      <c r="G14" s="26" t="s">
        <v>836</v>
      </c>
      <c r="H14" s="24">
        <f>SUMIF(Cleaned_Data!C2:C501,G14,Cleaned_Data!L2:L501)</f>
        <v>37795</v>
      </c>
      <c r="I14" s="25">
        <f>COUNTIF(Cleaned_Data!C2:C501,G14)</f>
        <v>33</v>
      </c>
    </row>
    <row r="15" spans="1:13" x14ac:dyDescent="0.25">
      <c r="A15" s="19" t="s">
        <v>18</v>
      </c>
      <c r="B15" s="20">
        <f>SUMIF(Cleaned_Data!H2:H501,A15,Cleaned_Data!L2:L501)</f>
        <v>54169</v>
      </c>
      <c r="C15" s="21">
        <f>COUNTIF(Cleaned_Data!H2:H501,A15)</f>
        <v>74</v>
      </c>
      <c r="D15" s="20">
        <f t="shared" si="0"/>
        <v>732.01351351351354</v>
      </c>
      <c r="E15" s="21">
        <f>SUMIF(Cleaned_Data!H2:H501,A15,Cleaned_Data!I2:I501)</f>
        <v>764</v>
      </c>
      <c r="G15" s="22" t="s">
        <v>837</v>
      </c>
      <c r="H15" s="20">
        <f>SUMIF(Cleaned_Data!C2:C501,G15,Cleaned_Data!L2:L501)</f>
        <v>57718</v>
      </c>
      <c r="I15" s="21">
        <f>COUNTIF(Cleaned_Data!C2:C501,G15)</f>
        <v>42</v>
      </c>
    </row>
    <row r="16" spans="1:13" x14ac:dyDescent="0.25">
      <c r="G16" s="26" t="s">
        <v>838</v>
      </c>
      <c r="H16" s="24">
        <f>SUMIF(Cleaned_Data!C2:C501,G16,Cleaned_Data!L2:L501)</f>
        <v>52560</v>
      </c>
      <c r="I16" s="25">
        <f>COUNTIF(Cleaned_Data!C2:C501,G16)</f>
        <v>47</v>
      </c>
    </row>
    <row r="17" spans="1:9" x14ac:dyDescent="0.25">
      <c r="G17" s="22" t="s">
        <v>839</v>
      </c>
      <c r="H17" s="20">
        <f>SUMIF(Cleaned_Data!C2:C501,G17,Cleaned_Data!L2:L501)</f>
        <v>100773</v>
      </c>
      <c r="I17" s="21">
        <f>COUNTIF(Cleaned_Data!C2:C501,G17)</f>
        <v>51</v>
      </c>
    </row>
    <row r="18" spans="1:9" x14ac:dyDescent="0.25">
      <c r="G18" s="26" t="s">
        <v>840</v>
      </c>
      <c r="H18" s="24">
        <f>SUMIF(Cleaned_Data!C2:C501,G18,Cleaned_Data!L2:L501)</f>
        <v>70516</v>
      </c>
      <c r="I18" s="25">
        <f>COUNTIF(Cleaned_Data!C2:C501,G18)</f>
        <v>52</v>
      </c>
    </row>
    <row r="19" spans="1:9" x14ac:dyDescent="0.25">
      <c r="G19" s="22" t="s">
        <v>841</v>
      </c>
      <c r="H19" s="20">
        <f>SUMIF(Cleaned_Data!C2:C501,G19,Cleaned_Data!L2:L501)</f>
        <v>56810</v>
      </c>
      <c r="I19" s="21">
        <f>COUNTIF(Cleaned_Data!C2:C501,G19)</f>
        <v>53</v>
      </c>
    </row>
    <row r="20" spans="1:9" x14ac:dyDescent="0.25">
      <c r="G20" s="26" t="s">
        <v>842</v>
      </c>
      <c r="H20" s="24">
        <f>SUMIF(Cleaned_Data!C2:C501,G20,Cleaned_Data!L2:L501)</f>
        <v>41383</v>
      </c>
      <c r="I20" s="25">
        <f>COUNTIF(Cleaned_Data!C2:C501,G20)</f>
        <v>49</v>
      </c>
    </row>
    <row r="22" spans="1:9" ht="15.75" x14ac:dyDescent="0.25">
      <c r="A22" s="43" t="s">
        <v>843</v>
      </c>
      <c r="B22" s="43"/>
      <c r="C22" s="43"/>
      <c r="D22" s="43"/>
      <c r="E22" s="43"/>
      <c r="G22" s="43" t="s">
        <v>844</v>
      </c>
      <c r="H22" s="43"/>
      <c r="I22" s="43"/>
    </row>
    <row r="23" spans="1:9" x14ac:dyDescent="0.25">
      <c r="A23" s="1" t="s">
        <v>3</v>
      </c>
      <c r="B23" s="1" t="s">
        <v>824</v>
      </c>
      <c r="C23" s="1" t="s">
        <v>825</v>
      </c>
      <c r="D23" s="1" t="s">
        <v>827</v>
      </c>
      <c r="E23" s="1" t="s">
        <v>826</v>
      </c>
      <c r="G23" s="1" t="s">
        <v>845</v>
      </c>
      <c r="H23" s="1" t="s">
        <v>824</v>
      </c>
      <c r="I23" s="1" t="s">
        <v>830</v>
      </c>
    </row>
    <row r="24" spans="1:9" x14ac:dyDescent="0.25">
      <c r="A24" s="27" t="s">
        <v>59</v>
      </c>
      <c r="B24" s="24">
        <f>SUMIF(Cleaned_Data!F2:F501,A24,Cleaned_Data!L2:L501)</f>
        <v>41581</v>
      </c>
      <c r="C24" s="25">
        <f>COUNTIF(Cleaned_Data!F2:F501,A24)</f>
        <v>43</v>
      </c>
      <c r="D24" s="25">
        <f>SUMIF(Cleaned_Data!F2:F501,A24,Cleaned_Data!I2:I501)</f>
        <v>458</v>
      </c>
      <c r="E24" s="24">
        <f t="shared" ref="E24:E33" si="1">IFERROR(B24/C24,0)</f>
        <v>967</v>
      </c>
      <c r="G24" s="26" t="s">
        <v>13</v>
      </c>
      <c r="H24" s="24">
        <f>SUMIF(Cleaned_Data!R2:R501,"Yes",Cleaned_Data!L2:L501)</f>
        <v>305004</v>
      </c>
      <c r="I24" s="13">
        <f>IFERROR(H24/SUM(H24:H25),0)</f>
        <v>0.48385837888945649</v>
      </c>
    </row>
    <row r="25" spans="1:9" x14ac:dyDescent="0.25">
      <c r="A25" s="28" t="s">
        <v>130</v>
      </c>
      <c r="B25" s="20">
        <f>SUMIF(Cleaned_Data!F2:F501,A25,Cleaned_Data!L2:L501)</f>
        <v>63933</v>
      </c>
      <c r="C25" s="21">
        <f>COUNTIF(Cleaned_Data!F2:F501,A25)</f>
        <v>61</v>
      </c>
      <c r="D25" s="21">
        <f>SUMIF(Cleaned_Data!F2:F501,A25,Cleaned_Data!I2:I501)</f>
        <v>610</v>
      </c>
      <c r="E25" s="20">
        <f t="shared" si="1"/>
        <v>1048.0819672131147</v>
      </c>
      <c r="G25" s="22" t="s">
        <v>846</v>
      </c>
      <c r="H25" s="20">
        <f>SUMIF(Cleaned_Data!R2:R501,"No",Cleaned_Data!L2:L501)</f>
        <v>325354</v>
      </c>
      <c r="I25" s="14">
        <f>IFERROR(H25/SUM(H24:H25),0)</f>
        <v>0.51614162111054351</v>
      </c>
    </row>
    <row r="26" spans="1:9" x14ac:dyDescent="0.25">
      <c r="A26" s="27" t="s">
        <v>16</v>
      </c>
      <c r="B26" s="24">
        <f>SUMIF(Cleaned_Data!F2:F501,A26,Cleaned_Data!L2:L501)</f>
        <v>76517</v>
      </c>
      <c r="C26" s="25">
        <f>COUNTIF(Cleaned_Data!F2:F501,A26)</f>
        <v>51</v>
      </c>
      <c r="D26" s="25">
        <f>SUMIF(Cleaned_Data!F2:F501,A26,Cleaned_Data!I2:I501)</f>
        <v>642</v>
      </c>
      <c r="E26" s="24">
        <f t="shared" si="1"/>
        <v>1500.3333333333333</v>
      </c>
    </row>
    <row r="27" spans="1:9" x14ac:dyDescent="0.25">
      <c r="A27" s="28" t="s">
        <v>44</v>
      </c>
      <c r="B27" s="20">
        <f>SUMIF(Cleaned_Data!F2:F501,A27,Cleaned_Data!L2:L501)</f>
        <v>63651</v>
      </c>
      <c r="C27" s="21">
        <f>COUNTIF(Cleaned_Data!F2:F501,A27)</f>
        <v>55</v>
      </c>
      <c r="D27" s="21">
        <f>SUMIF(Cleaned_Data!F2:F501,A27,Cleaned_Data!I2:I501)</f>
        <v>503</v>
      </c>
      <c r="E27" s="20">
        <f t="shared" si="1"/>
        <v>1157.2909090909091</v>
      </c>
    </row>
    <row r="28" spans="1:9" x14ac:dyDescent="0.25">
      <c r="A28" s="27" t="s">
        <v>75</v>
      </c>
      <c r="B28" s="24">
        <f>SUMIF(Cleaned_Data!F2:F501,A28,Cleaned_Data!L2:L501)</f>
        <v>71697</v>
      </c>
      <c r="C28" s="25">
        <f>COUNTIF(Cleaned_Data!F2:F501,A28)</f>
        <v>49</v>
      </c>
      <c r="D28" s="25">
        <f>SUMIF(Cleaned_Data!F2:F501,A28,Cleaned_Data!I2:I501)</f>
        <v>482</v>
      </c>
      <c r="E28" s="24">
        <f t="shared" si="1"/>
        <v>1463.204081632653</v>
      </c>
    </row>
    <row r="29" spans="1:9" x14ac:dyDescent="0.25">
      <c r="A29" s="28" t="s">
        <v>54</v>
      </c>
      <c r="B29" s="20">
        <f>SUMIF(Cleaned_Data!F2:F501,A29,Cleaned_Data!L2:L501)</f>
        <v>67715</v>
      </c>
      <c r="C29" s="21">
        <f>COUNTIF(Cleaned_Data!F2:F501,A29)</f>
        <v>51</v>
      </c>
      <c r="D29" s="21">
        <f>SUMIF(Cleaned_Data!F2:F501,A29,Cleaned_Data!I2:I501)</f>
        <v>584</v>
      </c>
      <c r="E29" s="20">
        <f t="shared" si="1"/>
        <v>1327.7450980392157</v>
      </c>
    </row>
    <row r="30" spans="1:9" x14ac:dyDescent="0.25">
      <c r="A30" s="27" t="s">
        <v>29</v>
      </c>
      <c r="B30" s="24">
        <f>SUMIF(Cleaned_Data!F2:F501,A30,Cleaned_Data!L2:L501)</f>
        <v>69570</v>
      </c>
      <c r="C30" s="25">
        <f>COUNTIF(Cleaned_Data!F2:F501,A30)</f>
        <v>49</v>
      </c>
      <c r="D30" s="25">
        <f>SUMIF(Cleaned_Data!F2:F501,A30,Cleaned_Data!I2:I501)</f>
        <v>577</v>
      </c>
      <c r="E30" s="24">
        <f t="shared" si="1"/>
        <v>1419.795918367347</v>
      </c>
    </row>
    <row r="31" spans="1:9" x14ac:dyDescent="0.25">
      <c r="A31" s="28" t="s">
        <v>23</v>
      </c>
      <c r="B31" s="20">
        <f>SUMIF(Cleaned_Data!F2:F501,A31,Cleaned_Data!L2:L501)</f>
        <v>55071</v>
      </c>
      <c r="C31" s="21">
        <f>COUNTIF(Cleaned_Data!F2:F501,A31)</f>
        <v>52</v>
      </c>
      <c r="D31" s="21">
        <f>SUMIF(Cleaned_Data!F2:F501,A31,Cleaned_Data!I2:I501)</f>
        <v>495</v>
      </c>
      <c r="E31" s="20">
        <f t="shared" si="1"/>
        <v>1059.0576923076924</v>
      </c>
    </row>
    <row r="32" spans="1:9" x14ac:dyDescent="0.25">
      <c r="A32" s="27" t="s">
        <v>35</v>
      </c>
      <c r="B32" s="24">
        <f>SUMIF(Cleaned_Data!F2:F501,A32,Cleaned_Data!L2:L501)</f>
        <v>55535</v>
      </c>
      <c r="C32" s="25">
        <f>COUNTIF(Cleaned_Data!F2:F501,A32)</f>
        <v>44</v>
      </c>
      <c r="D32" s="25">
        <f>SUMIF(Cleaned_Data!F2:F501,A32,Cleaned_Data!I2:I501)</f>
        <v>435</v>
      </c>
      <c r="E32" s="24">
        <f t="shared" si="1"/>
        <v>1262.159090909091</v>
      </c>
    </row>
    <row r="33" spans="1:5" x14ac:dyDescent="0.25">
      <c r="A33" s="28" t="s">
        <v>117</v>
      </c>
      <c r="B33" s="20">
        <f>SUMIF(Cleaned_Data!F2:F501,A33,Cleaned_Data!L2:L501)</f>
        <v>65088</v>
      </c>
      <c r="C33" s="21">
        <f>COUNTIF(Cleaned_Data!F2:F501,A33)</f>
        <v>45</v>
      </c>
      <c r="D33" s="21">
        <f>SUMIF(Cleaned_Data!F2:F501,A33,Cleaned_Data!I2:I501)</f>
        <v>519</v>
      </c>
      <c r="E33" s="20">
        <f t="shared" si="1"/>
        <v>1446.4</v>
      </c>
    </row>
  </sheetData>
  <mergeCells count="7">
    <mergeCell ref="A22:E22"/>
    <mergeCell ref="G22:I22"/>
    <mergeCell ref="A1:M1"/>
    <mergeCell ref="A3:A4"/>
    <mergeCell ref="A7:B7"/>
    <mergeCell ref="G7:I7"/>
    <mergeCell ref="K7:M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Cleaned_Data</vt:lpstr>
      <vt:lpstr>Summary_KPIs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2026-04-29T08:08:34Z</dcterms:created>
  <dcterms:modified xsi:type="dcterms:W3CDTF">2026-05-05T17:46:33Z</dcterms:modified>
  <dc:language>en-US</dc:language>
</cp:coreProperties>
</file>